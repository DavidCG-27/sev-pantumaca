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uario\Desktop\Tirar\Behavior Tree\"/>
    </mc:Choice>
  </mc:AlternateContent>
  <xr:revisionPtr revIDLastSave="320" documentId="13_ncr:1_{8763711A-3A90-4F6A-B9CB-FA6C7836626C}" xr6:coauthVersionLast="47" xr6:coauthVersionMax="47" xr10:uidLastSave="{1768406F-2672-4742-86F0-26101170910A}"/>
  <bookViews>
    <workbookView xWindow="-108" yWindow="-108" windowWidth="23256" windowHeight="12456" firstSheet="1" activeTab="1" xr2:uid="{B063780B-D7AB-4B5D-B06E-BC5C1706AA45}"/>
  </bookViews>
  <sheets>
    <sheet name="TOTAL BUDGET" sheetId="2" r:id="rId1"/>
    <sheet name="DEVELOPMENT SPRINT BUDGET" sheetId="1" r:id="rId2"/>
    <sheet name="MATERIALS" sheetId="12" r:id="rId3"/>
    <sheet name="PROGRAMMING TOTAL Est. TIME" sheetId="11" r:id="rId4"/>
    <sheet name="PROGRAMMING MECHANIC Est. TIME" sheetId="3" r:id="rId5"/>
    <sheet name="ANIMATION Est.TIME" sheetId="6" r:id="rId6"/>
    <sheet name="ENVIRONMENT Est TIME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2" l="1"/>
  <c r="D11" i="12"/>
  <c r="D12" i="12"/>
  <c r="I7" i="6"/>
  <c r="I8" i="6"/>
  <c r="I9" i="6"/>
  <c r="I10" i="6"/>
  <c r="I11" i="6"/>
  <c r="I12" i="6"/>
  <c r="I13" i="6"/>
  <c r="I14" i="6"/>
  <c r="I15" i="6"/>
  <c r="I16" i="6"/>
  <c r="I17" i="6"/>
  <c r="I18" i="6"/>
  <c r="F11" i="12"/>
  <c r="F12" i="12"/>
  <c r="F10" i="12"/>
  <c r="I33" i="6"/>
  <c r="I34" i="6"/>
  <c r="I32" i="6"/>
  <c r="F8" i="7"/>
  <c r="F4" i="7"/>
  <c r="F12" i="7" s="1"/>
  <c r="D11" i="1" s="1"/>
  <c r="E11" i="1" s="1"/>
  <c r="J11" i="1" s="1"/>
  <c r="E21" i="11"/>
  <c r="E6" i="11" s="1"/>
  <c r="J26" i="6"/>
  <c r="J24" i="6"/>
  <c r="J25" i="6"/>
  <c r="I6" i="6"/>
  <c r="I19" i="6" s="1"/>
  <c r="C524" i="3"/>
  <c r="C527" i="3" s="1"/>
  <c r="C480" i="3"/>
  <c r="C483" i="3" s="1"/>
  <c r="C436" i="3"/>
  <c r="C439" i="3" s="1"/>
  <c r="C392" i="3"/>
  <c r="C395" i="3" s="1"/>
  <c r="C348" i="3"/>
  <c r="C351" i="3" s="1"/>
  <c r="C304" i="3"/>
  <c r="C307" i="3" s="1"/>
  <c r="C260" i="3"/>
  <c r="C263" i="3" s="1"/>
  <c r="C216" i="3"/>
  <c r="C219" i="3" s="1"/>
  <c r="C172" i="3"/>
  <c r="C175" i="3" s="1"/>
  <c r="C128" i="3"/>
  <c r="C131" i="3" s="1"/>
  <c r="C84" i="3"/>
  <c r="C87" i="3" s="1"/>
  <c r="C40" i="3"/>
  <c r="C43" i="3" s="1"/>
  <c r="C532" i="3" s="1"/>
  <c r="E5" i="11" s="1"/>
  <c r="E6" i="1"/>
  <c r="J6" i="1" s="1"/>
  <c r="E7" i="1"/>
  <c r="J7" i="1" s="1"/>
  <c r="E12" i="1"/>
  <c r="J12" i="1" s="1"/>
  <c r="E14" i="1"/>
  <c r="J14" i="1" s="1"/>
  <c r="E15" i="1"/>
  <c r="J15" i="1" s="1"/>
  <c r="E16" i="1"/>
  <c r="J16" i="1" s="1"/>
  <c r="E5" i="1"/>
  <c r="J5" i="1" s="1"/>
  <c r="I35" i="6" l="1"/>
  <c r="C6" i="12" s="1"/>
  <c r="D6" i="12" s="1"/>
  <c r="D17" i="12" s="1"/>
  <c r="E12" i="11"/>
  <c r="D10" i="1" s="1"/>
  <c r="E10" i="1" s="1"/>
  <c r="J10" i="1" s="1"/>
  <c r="J27" i="6"/>
  <c r="J43" i="6" l="1"/>
  <c r="D9" i="1" s="1"/>
  <c r="E9" i="1" s="1"/>
  <c r="J9" i="1" s="1"/>
  <c r="J18" i="1" l="1"/>
  <c r="D8" i="2" s="1"/>
  <c r="D11" i="2"/>
  <c r="E15" i="12" l="1"/>
  <c r="F15" i="12" s="1"/>
  <c r="D18" i="12"/>
  <c r="F11" i="2"/>
  <c r="D14" i="2" s="1"/>
  <c r="D15" i="2" s="1"/>
  <c r="D16" i="2" s="1"/>
  <c r="D20" i="12" l="1"/>
  <c r="D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tc={7A991742-2492-4C5E-807E-54D97F5FCE38}</author>
    <author>tc={9FA8C2A3-346A-4EC3-B20F-A68128CE2E8B}</author>
    <author>tc={30DC2DFD-87AF-4B8F-AB6C-B285B6A37999}</author>
    <author>tc={B8010EF3-D08B-4967-9682-345C75081174}</author>
    <author>tc={A38FCBB2-A20F-4F4B-A9BC-B74BA1DD8412}</author>
    <author>tc={FA465DAD-0304-4988-A889-707647A7D9FA}</author>
    <author>tc={A037E7CC-64F4-4938-BAC7-AFC8B5A01648}</author>
    <author>tc={5BDE36E0-2BAE-414B-A8FA-356AF8BD606F}</author>
    <author>tc={4FFD9154-A7B0-45D2-9916-E379BB716A05}</author>
  </authors>
  <commentList>
    <comment ref="E4" authorId="0" shapeId="0" xr:uid="{7A991742-2492-4C5E-807E-54D97F5FCE38}">
      <text>
        <t>[Threaded comment]
Your version of Excel allows you to read this threaded comment; however, any edits to it will get removed if the file is opened in a newer version of Excel. Learn more: https://go.microsoft.com/fwlink/?linkid=870924
Comment:
    Marcamos jornadas de 7 horas diarias por ser sector tecnológico, pero podríamos considerar 8 horas diarias.</t>
      </text>
    </comment>
    <comment ref="F5" authorId="1" shapeId="0" xr:uid="{9FA8C2A3-346A-4EC3-B20F-A68128CE2E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Game Designer:
Precios en España.
Junior:
10 a 15€/hora.
Anual bruto: 18.000€ a 26.000€
Senior:
Entre 20 y 30€/hora
Anual bruto: 30.000€ a 50.000€
</t>
      </text>
    </comment>
    <comment ref="F6" authorId="2" shapeId="0" xr:uid="{30DC2DFD-87AF-4B8F-AB6C-B285B6A379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Character designer de videojuegos.:
Precios en España.
Junior:
10 a 15€/hora.
Anual bruto: 18.000€ a 26.000€
Senior:
Entre 20 y 30€/hora
Anual bruto: 30.000€ a 50.000€
</t>
      </text>
    </comment>
    <comment ref="F7" authorId="3" shapeId="0" xr:uid="{B8010EF3-D08B-4967-9682-345C750811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Concept artist de videojuegos:
Precios en España.
Junior:
10 a 15€/hora.
Anual bruto: 18.000€ a 26.000€
Senior:
Entre 20 y 30€/hora
Anual bruto: 30.000€ a 50.000€
</t>
      </text>
    </comment>
    <comment ref="F9" authorId="4" shapeId="0" xr:uid="{A38FCBB2-A20F-4F4B-A9BC-B74BA1DD84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Junior:
10 a 15€/hora.
Anual bruto: 18.000€ a 26.000€
Senior:
Entre 20 y 30€/hora
Anual bruto: 30.000€ a 50.000€
</t>
      </text>
    </comment>
    <comment ref="F10" authorId="5" shapeId="0" xr:uid="{FA465DAD-0304-4988-A889-707647A7D9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Programador de Videojuegos Junior:
Salario Anual Bruto: Alrededor de 21.500 euros.
Tarifa por Hora Aproximada: Entre 10 y 12 euros.
Programador de Videojuegos con Experiencia Media (4-9 años):
Salario Anual Bruto: Aproximadamente 29.600 euros.
Tarifa por Hora Aproximada: Entre 15 y 18 euros.
Programador de Videojuegos Senior (10-20 años):
Salario Anual Bruto: Alrededor de 45.200 euros.
Tarifa por Hora Aproximada: Entre 23 y 26 euros.
</t>
      </text>
    </comment>
    <comment ref="F11" authorId="6" shapeId="0" xr:uid="{A037E7CC-64F4-4938-BAC7-AFC8B5A016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Generalista 3D Junior:
Salario Anual Bruto: Alrededor de 16.000 euros. Glassdoor
Tarifa por Hora Aproximada: Entre 8 y 10 euros.
Generalista 3D con Experiencia Media:
Salario Anual Bruto: Entre 23.000 y 25.000 euros. Stratos Advertising
Tarifa por Hora Aproximada: Entre 12 y 14 euros.
Generalista 3D Senior:
Salario Anual Bruto: Entre 30.000 y 40.000 euros.
Tarifa por Hora Aproximada: Entre 16 y 20 euros.
</t>
      </text>
    </comment>
    <comment ref="F12" authorId="7" shapeId="0" xr:uid="{5BDE36E0-2BAE-414B-A8FA-356AF8BD60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Diseñador de Sonido Junior:
Salario Anual Bruto: Alrededor de 22.366 euros.
Tarifa por Hora Aproximada: Entre 11 y 13 euros.
Diseñador de Sonido Senior:
Salario Anual Bruto: Aproximadamente 39.595 euros.
</t>
      </text>
    </comment>
    <comment ref="F14" authorId="8" shapeId="0" xr:uid="{4FFD9154-A7B0-45D2-9916-E379BB716A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Tester de Videojuegos Junior:
Salario Anual Bruto: Entre 18.000 y 22.000 euros.
Tarifa por Hora Aproximada: Entre 9 y 11 euros.
Tester de Videojuegos Senior:
Salario Anual Bruto: Entre 25.000 y 30.000 euros.
Tarifa por Hora Aproximada: Entre 12 y 15 euros.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tc={A53E04B8-D7C3-4286-88AA-CAAAC69C78F1}</author>
    <author>tc={E5BD2D9D-3F55-45F0-AB49-56F9B90F509E}</author>
  </authors>
  <commentList>
    <comment ref="D6" authorId="0" shapeId="0" xr:uid="{A53E04B8-D7C3-4286-88AA-CAAAC69C78F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prorrateamos, ¿deberíamos? Sí. Pero si somos una nueva empresa no lo hacemos.</t>
      </text>
    </comment>
    <comment ref="E10" authorId="1" shapeId="0" xr:uid="{E5BD2D9D-3F55-45F0-AB49-56F9B90F509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https://estore.wacom.com/es-es/wacom-cintiq-pro-24-with-ergo-stand-dtk-2420-stand-bu.html?gad_source=1&amp;gclid=Cj0KCQiA_9u5BhCUARIsABbMSPsAZbu0Q4uZk4Tcu7yQogLgFJs7DnynzjNUxtmB_RDSeDdUNtxTJ8QaAlsOEALw_wcB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tc={16F5F731-0594-4573-95E9-C06713480300}</author>
  </authors>
  <commentList>
    <comment ref="E7" authorId="0" shapeId="0" xr:uid="{16F5F731-0594-4573-95E9-C067134803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Tablas a definir en función de los parámetros referentes al GDD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tc={3D2BE046-2E91-4440-8AA6-F93823D5194F}</author>
    <author>tc={F27504FF-E82D-443A-A1D4-A3A6850A4344}</author>
    <author>tc={0FEA5CDA-CB97-46D8-B6A4-E7F7BBC3672E}</author>
    <author>tc={31708C0E-2D66-4DF8-8235-A5B1AFC08477}</author>
    <author>tc={6E806D82-46F0-4C45-91F5-7E12D59F6402}</author>
    <author>tc={BB2A3B70-AF21-49DE-979A-C82F4338DE72}</author>
    <author>tc={00E8CFB3-DD1C-4D38-81B8-1A1A408BE6C6}</author>
    <author>tc={0272BE65-0E7A-4CA0-9246-AF834649120F}</author>
    <author>tc={724120F4-7149-4AE9-99DB-02769B905432}</author>
    <author>tc={8792D384-9675-4E8B-88F2-59D569EAD8DE}</author>
    <author>tc={AD8CBFFC-C18F-48F1-9B9C-58A8717AA845}</author>
    <author>tc={8436A544-CDCC-4F49-9082-9AA2BEDD2927}</author>
  </authors>
  <commentList>
    <comment ref="C40" authorId="0" shapeId="0" xr:uid="{3D2BE046-2E91-4440-8AA6-F93823D519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84" authorId="1" shapeId="0" xr:uid="{F27504FF-E82D-443A-A1D4-A3A6850A43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128" authorId="2" shapeId="0" xr:uid="{0FEA5CDA-CB97-46D8-B6A4-E7F7BBC3672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172" authorId="3" shapeId="0" xr:uid="{31708C0E-2D66-4DF8-8235-A5B1AFC084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216" authorId="4" shapeId="0" xr:uid="{6E806D82-46F0-4C45-91F5-7E12D59F64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260" authorId="5" shapeId="0" xr:uid="{BB2A3B70-AF21-49DE-979A-C82F4338DE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304" authorId="6" shapeId="0" xr:uid="{00E8CFB3-DD1C-4D38-81B8-1A1A408BE6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348" authorId="7" shapeId="0" xr:uid="{0272BE65-0E7A-4CA0-9246-AF83464912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392" authorId="8" shapeId="0" xr:uid="{724120F4-7149-4AE9-99DB-02769B9054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436" authorId="9" shapeId="0" xr:uid="{8792D384-9675-4E8B-88F2-59D569EAD8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480" authorId="10" shapeId="0" xr:uid="{AD8CBFFC-C18F-48F1-9B9C-58A8717AA8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  <comment ref="C524" authorId="11" shapeId="0" xr:uid="{8436A544-CDCC-4F49-9082-9AA2BEDD29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Rango: 0.5 (muy experimentado) a 1 (poco experimentado)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tc={6F73E71E-61E9-4F15-9824-2CE73F4A281B}</author>
    <author>tc={8D701D18-63D6-45F9-988C-E9A618115F3F}</author>
    <author>tc={DDE8B9B6-AC77-4709-8BF2-16E5255BEDEE}</author>
    <author>tc={889050CB-EFA5-483A-BCD5-3AE504DE45E8}</author>
    <author>tc={684C157B-959E-4B2E-BB8E-9426BDEB79CF}</author>
  </authors>
  <commentList>
    <comment ref="F6" authorId="0" shapeId="0" xr:uid="{6F73E71E-61E9-4F15-9824-2CE73F4A281B}">
      <text>
        <t>[Threaded comment]
Your version of Excel allows you to read this threaded comment; however, any edits to it will get removed if the file is opened in a newer version of Excel. Learn more: https://go.microsoft.com/fwlink/?linkid=870924
Comment:
    Estos tiempos variarán en función de la complejidad del diseño de personajes.</t>
      </text>
    </comment>
    <comment ref="D30" authorId="1" shapeId="0" xr:uid="{8D701D18-63D6-45F9-988C-E9A618115F3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https://www.rokoko.com/products/coil-pro
Estoy presuponiendo 1$ = 1€ que será aproximadamente lo que salga con gastos de envío.</t>
      </text>
    </comment>
    <comment ref="E30" authorId="2" shapeId="0" xr:uid="{DDE8B9B6-AC77-4709-8BF2-16E5255BEDE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https://eu.store.rokoko.com/products/smartsuit-pro-ii?_gl=1*ouvi1i*_gcl_au*MTM2MDA0NzE3MS4xNzMxNjc0MjM4*_ga*OTY2MzIxNTgxLjE3MzE2NzQyMzk.*_ga_2TG4CJCP6E*MTczMTY3NDIzOC4xLjEuMTczMTY3NDM3OS42MC4wLjA.</t>
      </text>
    </comment>
    <comment ref="F30" authorId="3" shapeId="0" xr:uid="{889050CB-EFA5-483A-BCD5-3AE504DE45E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https://www.rokoko.com/products/smartgloves</t>
      </text>
    </comment>
    <comment ref="H32" authorId="4" shapeId="0" xr:uid="{684C157B-959E-4B2E-BB8E-9426BDEB79CF}">
      <text>
        <t>[Threaded comment]
Your version of Excel allows you to read this threaded comment; however, any edits to it will get removed if the file is opened in a newer version of Excel. Learn more: https://go.microsoft.com/fwlink/?linkid=870924
Comment:
    El tiempo es muy inferior a 3D animación pura. El acabado más realista y menos expresivo.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tc={824B7A83-8338-48EA-908E-FB40C19DC6A6}</author>
  </authors>
  <commentList>
    <comment ref="E4" authorId="0" shapeId="0" xr:uid="{824B7A83-8338-48EA-908E-FB40C19DC6A6}">
      <text>
        <t>[Threaded comment]
Your version of Excel allows you to read this threaded comment; however, any edits to it will get removed if the file is opened in a newer version of Excel. Learn more: https://go.microsoft.com/fwlink/?linkid=870924
Comment:
    Depende de la estética escogida.</t>
      </text>
    </comment>
  </commentList>
</comments>
</file>

<file path=xl/sharedStrings.xml><?xml version="1.0" encoding="utf-8"?>
<sst xmlns="http://schemas.openxmlformats.org/spreadsheetml/2006/main" count="416" uniqueCount="182">
  <si>
    <t>FULL PRODUCTION COST</t>
  </si>
  <si>
    <t>Materials</t>
  </si>
  <si>
    <t>Estimated development sprints</t>
  </si>
  <si>
    <t>Price/sprint</t>
  </si>
  <si>
    <t>Total days</t>
  </si>
  <si>
    <t>€/hour</t>
  </si>
  <si>
    <t>Price</t>
  </si>
  <si>
    <t>Project Manager</t>
  </si>
  <si>
    <t>Contingency (25%)</t>
  </si>
  <si>
    <t>Total</t>
  </si>
  <si>
    <t>DEVELOPMENT sprint</t>
  </si>
  <si>
    <t>Days</t>
  </si>
  <si>
    <t>Total hours</t>
  </si>
  <si>
    <t>Senior (€/hour)</t>
  </si>
  <si>
    <t>Quantity senior</t>
  </si>
  <si>
    <t>Junior (€/hour)</t>
  </si>
  <si>
    <t>Quantity Junior</t>
  </si>
  <si>
    <t>Total price €</t>
  </si>
  <si>
    <t>Game Design</t>
  </si>
  <si>
    <t>DESIGN</t>
  </si>
  <si>
    <t>Character design</t>
  </si>
  <si>
    <t>Concept art</t>
  </si>
  <si>
    <t>Animation</t>
  </si>
  <si>
    <t>DEVELOPMENT</t>
  </si>
  <si>
    <t>Programming</t>
  </si>
  <si>
    <t>Environment</t>
  </si>
  <si>
    <t>Sound design</t>
  </si>
  <si>
    <t>Target audience</t>
  </si>
  <si>
    <t>TESTING</t>
  </si>
  <si>
    <t>New Players</t>
  </si>
  <si>
    <t>Expert players</t>
  </si>
  <si>
    <t xml:space="preserve">*NOTE: We have estimated a studio with </t>
  </si>
  <si>
    <t xml:space="preserve">one senior game designer, </t>
  </si>
  <si>
    <t xml:space="preserve">character designer, </t>
  </si>
  <si>
    <t xml:space="preserve">concept artist, </t>
  </si>
  <si>
    <t xml:space="preserve">animator, </t>
  </si>
  <si>
    <t xml:space="preserve">programmer and </t>
  </si>
  <si>
    <t xml:space="preserve">3D generalist (environment). </t>
  </si>
  <si>
    <t>6 testers and one sound designer.</t>
  </si>
  <si>
    <t>Consider to modify it if needed</t>
  </si>
  <si>
    <t>Uses mocap? (Y/N)</t>
  </si>
  <si>
    <t>Budget</t>
  </si>
  <si>
    <t>Quantity</t>
  </si>
  <si>
    <t>Consolas y mandos</t>
  </si>
  <si>
    <t>PC Alto Rendimiento</t>
  </si>
  <si>
    <t>PC Normal</t>
  </si>
  <si>
    <t>Months</t>
  </si>
  <si>
    <t>Office rent (month)</t>
  </si>
  <si>
    <t>Total materials</t>
  </si>
  <si>
    <t>Amortisation (4 years)</t>
  </si>
  <si>
    <t>Total mat. Amort+off.</t>
  </si>
  <si>
    <t>PROGRAMMING TOTALS</t>
  </si>
  <si>
    <t>PROGRAMING MECHANICS</t>
  </si>
  <si>
    <t>SCRIPTING LEVELS</t>
  </si>
  <si>
    <t>OPTIMIZATION (LODs, WORLD PARTITION)</t>
  </si>
  <si>
    <t>MULTIPLAYER MODE</t>
  </si>
  <si>
    <t>SAVING DATA SYSTEM</t>
  </si>
  <si>
    <t>GUI</t>
  </si>
  <si>
    <t>BUILD</t>
  </si>
  <si>
    <t>TOTAL</t>
  </si>
  <si>
    <t>Scipting levels</t>
  </si>
  <si>
    <t>Number of levels</t>
  </si>
  <si>
    <t>Number of Game rules/styles per loop</t>
  </si>
  <si>
    <t>Average complexity (1-10)</t>
  </si>
  <si>
    <t>Game Mechanic #1</t>
  </si>
  <si>
    <t>Name:</t>
  </si>
  <si>
    <t>Nivel de Corrupción</t>
  </si>
  <si>
    <t xml:space="preserve">Description: </t>
  </si>
  <si>
    <t>Sustituye la barra de vida tradicional. Cada acción política o interacción con
 enemigos incrementa el nivel de corrupción. Si llega al 100%,
 el jugador pierde. Se integra con todas las mecánicas del juego, afectando 
decisiones estratégicas y generando tensión constante.</t>
  </si>
  <si>
    <t>References:</t>
  </si>
  <si>
    <t>Darkest Dungeon (estrés).</t>
  </si>
  <si>
    <t>(other videogames where it appears)</t>
  </si>
  <si>
    <t>Resident Evil (sistema de infección).</t>
  </si>
  <si>
    <t>Technical complexity (1-10)</t>
  </si>
  <si>
    <t>Resource_interaction (1-10)</t>
  </si>
  <si>
    <t>Level of interaction with artistic resources/</t>
  </si>
  <si>
    <t>external data/other game objects</t>
  </si>
  <si>
    <t>Testing and debugging (1-10)</t>
  </si>
  <si>
    <t>Technical effort on testing and debugging</t>
  </si>
  <si>
    <t>Performance impact (1-10)</t>
  </si>
  <si>
    <t>Scalability (1-10)</t>
  </si>
  <si>
    <t>Difficulty on scaling this mechanic</t>
  </si>
  <si>
    <t>Innovation (1-10)</t>
  </si>
  <si>
    <t>Team experience (1-10)</t>
  </si>
  <si>
    <t>Experience on this type of mechanics</t>
  </si>
  <si>
    <t>EXPERIENCE FACTOR (auto-calculated)</t>
  </si>
  <si>
    <t>TOTAL TIME (DAYS)  (auto-calculated)</t>
  </si>
  <si>
    <t>Game Mechanic #2</t>
  </si>
  <si>
    <t>Afinidades Políticas (Piedra-Papel-Tijera)</t>
  </si>
  <si>
    <t>Sistema RPG que define ventajas y desventajas en combate según ideología: 
Liberal &gt; Conservador &gt; Socialista. Influye en daño, defensa y reclutamiento. 
Se aplica tanto a enemigos como a aliados.</t>
  </si>
  <si>
    <t>Pokemon (Sistema de Tipos)</t>
  </si>
  <si>
    <t>Fire Emblem (triángulo de armas).</t>
  </si>
  <si>
    <t>Monster Hunter Stories (Sistema de Tipos)</t>
  </si>
  <si>
    <t>Game Mechanic #3</t>
  </si>
  <si>
    <t>Estados del Enemigo</t>
  </si>
  <si>
    <t xml:space="preserve">Implementa condiciones especiales como “Mareado” (tras fallar votación), </t>
  </si>
  <si>
    <t>“Decretazo” (ataque fuerte), “Bloqueo parlamentario”. Cada estado altera</t>
  </si>
  <si>
    <t>IA y comportamiento en combate, afectando estrategia del jugador.</t>
  </si>
  <si>
    <t>Referencia: Pokémon (estados alterados), Resident Evil.</t>
  </si>
  <si>
    <t xml:space="preserve"> Pokémon (estados alterados)</t>
  </si>
  <si>
    <t>Game Mechanic #4</t>
  </si>
  <si>
    <t>Sistema de Guardado Limitado</t>
  </si>
  <si>
    <t>Solo permite guardar en “zonas seguras” (despachos protegidos).</t>
  </si>
  <si>
    <t>Añade tensión y planificación, evitando abuso de guardado rápido.</t>
  </si>
  <si>
    <t>Se integra con diseño de niveles.</t>
  </si>
  <si>
    <t>Dead Rising (Xbox 360)</t>
  </si>
  <si>
    <t>Alien: Isolation</t>
  </si>
  <si>
    <t>Game Mechanic #5</t>
  </si>
  <si>
    <t>IA Amenazas Invencibles</t>
  </si>
  <si>
    <t>Tribunal de Cuentas persigue al jugador de forma dinámica.</t>
  </si>
  <si>
    <t xml:space="preserve">No puede ser derrotado, solo esquivado. IA debe detectar ruido, </t>
  </si>
  <si>
    <t>puertas abiertas y rutas alternativas. Genera tensión constante.</t>
  </si>
  <si>
    <t>Mr. X (Resident Evil 2).</t>
  </si>
  <si>
    <t>Game Mechanic #6</t>
  </si>
  <si>
    <t>Puzzle Mini-Debate</t>
  </si>
  <si>
    <t>Para desbloquear puertas y avanzar, el jugador debe resolver debates</t>
  </si>
  <si>
    <t>con lógica política, seleccionando argumentos correctos bajo presión.</t>
  </si>
  <si>
    <t>Incluye interfaz específica y feedback dinámico.</t>
  </si>
  <si>
    <t>Ace Attorney</t>
  </si>
  <si>
    <t>Game Mechanic #7</t>
  </si>
  <si>
    <t>Sistema de Reclutamiento Político</t>
  </si>
  <si>
    <t xml:space="preserve">Permite reclutar aliados con ideologías específicas. </t>
  </si>
  <si>
    <t xml:space="preserve">Incluye lógica de afinidad, diálogos y gestión de equipo. </t>
  </si>
  <si>
    <t>Impacta en combate y narrativa.</t>
  </si>
  <si>
    <t>Fire Emblem</t>
  </si>
  <si>
    <t>Suikoden.</t>
  </si>
  <si>
    <t>Game Mechanic #8</t>
  </si>
  <si>
    <t>Sigilo</t>
  </si>
  <si>
    <t>El jugador puede abrir puertas de forma normal o sigilosa para evitar alertar</t>
  </si>
  <si>
    <t>enemigos. Incluye detección de ruido,animaciones y feedback visual.</t>
  </si>
  <si>
    <t>The Last of Us</t>
  </si>
  <si>
    <t>Resident Evil</t>
  </si>
  <si>
    <t>Game Mechanic #9</t>
  </si>
  <si>
    <t>Game Mechanic 10</t>
  </si>
  <si>
    <t>Game Mechanic #11</t>
  </si>
  <si>
    <t>Game Mechanic #12</t>
  </si>
  <si>
    <t>All mechanics</t>
  </si>
  <si>
    <t>Link Trello</t>
  </si>
  <si>
    <t>2D animation</t>
  </si>
  <si>
    <t>Character/asset</t>
  </si>
  <si>
    <t>Main (Y/N)</t>
  </si>
  <si>
    <t>Nº animations</t>
  </si>
  <si>
    <t>Layouts (hours/anim)</t>
  </si>
  <si>
    <t>Draft animation (hours/anim)</t>
  </si>
  <si>
    <t>Clean up (hours/anim)</t>
  </si>
  <si>
    <t>Pedro Sánchez</t>
  </si>
  <si>
    <t>Y</t>
  </si>
  <si>
    <t>Donald Trump</t>
  </si>
  <si>
    <t>N</t>
  </si>
  <si>
    <t>Xi Jinping</t>
  </si>
  <si>
    <t>Mazón</t>
  </si>
  <si>
    <t>Feijo</t>
  </si>
  <si>
    <t>Pablo Iglesias</t>
  </si>
  <si>
    <t>Abascal</t>
  </si>
  <si>
    <t>Ayuso</t>
  </si>
  <si>
    <t>Macron</t>
  </si>
  <si>
    <t>Angela Merkle</t>
  </si>
  <si>
    <t>Kim Jon Ung</t>
  </si>
  <si>
    <t>Joe Biden</t>
  </si>
  <si>
    <t>Echenque</t>
  </si>
  <si>
    <t>3D animation</t>
  </si>
  <si>
    <t>Character</t>
  </si>
  <si>
    <t>Asset (Y/N)</t>
  </si>
  <si>
    <t>Modelling (hours/model)</t>
  </si>
  <si>
    <t>Texturing (hours/model)</t>
  </si>
  <si>
    <t>Rigging (hours/char)</t>
  </si>
  <si>
    <t>Animation (hours/anim)</t>
  </si>
  <si>
    <t>Tribunal de Cuenats</t>
  </si>
  <si>
    <t>Pro-Coil</t>
  </si>
  <si>
    <t>Smartsuit Pro</t>
  </si>
  <si>
    <t>SmartGloves</t>
  </si>
  <si>
    <t>Mocap</t>
  </si>
  <si>
    <t>Initial investment</t>
  </si>
  <si>
    <t>TOTAL hours</t>
  </si>
  <si>
    <t>Add any row you need</t>
  </si>
  <si>
    <t>Nº Props</t>
  </si>
  <si>
    <t>Hours modelling/texturing /prop</t>
  </si>
  <si>
    <t>Hours props</t>
  </si>
  <si>
    <t>Nº levels</t>
  </si>
  <si>
    <t>Environment composition, effects, light and limits (hours)</t>
  </si>
  <si>
    <t>Hours composition</t>
  </si>
  <si>
    <t>Previously 4 and 5 hours, increased heavily as we want photorealistic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</si>
</sst>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Dogica"/>
      <family val="3"/>
    </font>
    <font>
      <sz val="11"/>
      <color theme="1"/>
      <name val="Dogica"/>
      <family val="3"/>
    </font>
    <font>
      <b/>
      <sz val="11"/>
      <color rgb="FFFF0000"/>
      <name val="Dogica"/>
      <family val="3"/>
    </font>
    <font>
      <sz val="11"/>
      <color theme="0"/>
      <name val="Dogica"/>
      <family val="3"/>
    </font>
    <font>
      <sz val="11"/>
      <name val="Dogica"/>
      <family val="3"/>
    </font>
    <font>
      <sz val="10"/>
      <color theme="1"/>
      <name val="Dogica"/>
      <family val="3"/>
    </font>
    <font>
      <sz val="11"/>
      <color rgb="FFFF0000"/>
      <name val="Dogica"/>
      <family val="3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2" fillId="6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3" borderId="0" xfId="0" applyFont="1" applyFill="1" applyAlignment="1">
      <alignment horizontal="center" vertical="top"/>
    </xf>
    <xf numFmtId="0" fontId="6" fillId="2" borderId="0" xfId="0" applyFont="1" applyFill="1" applyAlignment="1">
      <alignment horizontal="right"/>
    </xf>
    <xf numFmtId="0" fontId="7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12" borderId="0" xfId="0" applyFont="1" applyFill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2" fillId="13" borderId="0" xfId="0" applyFont="1" applyFill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4" fillId="14" borderId="7" xfId="0" applyFont="1" applyFill="1" applyBorder="1" applyAlignment="1">
      <alignment horizontal="center"/>
    </xf>
    <xf numFmtId="0" fontId="4" fillId="14" borderId="8" xfId="0" applyFont="1" applyFill="1" applyBorder="1" applyAlignment="1">
      <alignment horizontal="center"/>
    </xf>
    <xf numFmtId="0" fontId="4" fillId="14" borderId="9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22</xdr:row>
      <xdr:rowOff>9525</xdr:rowOff>
    </xdr:from>
    <xdr:to>
      <xdr:col>3</xdr:col>
      <xdr:colOff>618087</xdr:colOff>
      <xdr:row>72</xdr:row>
      <xdr:rowOff>94168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F9F44F-5C7C-5174-F6D7-2CBB632CD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0" y="3781425"/>
          <a:ext cx="8304762" cy="86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48</xdr:row>
      <xdr:rowOff>95250</xdr:rowOff>
    </xdr:from>
    <xdr:to>
      <xdr:col>3</xdr:col>
      <xdr:colOff>418301</xdr:colOff>
      <xdr:row>79</xdr:row>
      <xdr:rowOff>56490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87FE82-2980-14A0-6983-DB03B3173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6991350"/>
          <a:ext cx="6390476" cy="52761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NOL JUNQUERA ALVAREZ" id="{3EDC0E67-BD0A-4066-B5A6-5710C1674545}" userId="S::junqueraenol@uniovi.es::01d2593f-256b-4974-bee9-9cfea85880f9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" dT="2024-11-15T11:17:04.30" personId="{3EDC0E67-BD0A-4066-B5A6-5710C1674545}" id="{7A991742-2492-4C5E-807E-54D97F5FCE38}">
    <text>Marcamos jornadas de 7 horas diarias por ser sector tecnológico, pero podríamos considerar 8 horas diarias.</text>
  </threadedComment>
  <threadedComment ref="F5" dT="2024-11-15T10:59:43.21" personId="{3EDC0E67-BD0A-4066-B5A6-5710C1674545}" id="{9FA8C2A3-346A-4EC3-B20F-A68128CE2E8B}">
    <text xml:space="preserve">Game Designer:
Precios en España.
Junior:
10 a 15€/hora.
Anual bruto: 18.000€ a 26.000€
Senior:
Entre 20 y 30€/hora
Anual bruto: 30.000€ a 50.000€
</text>
  </threadedComment>
  <threadedComment ref="F6" dT="2024-11-15T11:00:40.20" personId="{3EDC0E67-BD0A-4066-B5A6-5710C1674545}" id="{30DC2DFD-87AF-4B8F-AB6C-B285B6A37999}">
    <text xml:space="preserve">Character designer de videojuegos.:
Precios en España.
Junior:
10 a 15€/hora.
Anual bruto: 18.000€ a 26.000€
Senior:
Entre 20 y 30€/hora
Anual bruto: 30.000€ a 50.000€
</text>
  </threadedComment>
  <threadedComment ref="F7" dT="2024-11-15T11:01:32.09" personId="{3EDC0E67-BD0A-4066-B5A6-5710C1674545}" id="{B8010EF3-D08B-4967-9682-345C75081174}">
    <text xml:space="preserve">Concept artist de videojuegos:
Precios en España.
Junior:
10 a 15€/hora.
Anual bruto: 18.000€ a 26.000€
Senior:
Entre 20 y 30€/hora
Anual bruto: 30.000€ a 50.000€
</text>
  </threadedComment>
  <threadedComment ref="F9" dT="2024-11-15T11:13:12.27" personId="{3EDC0E67-BD0A-4066-B5A6-5710C1674545}" id="{A38FCBB2-A20F-4F4B-A9BC-B74BA1DD8412}">
    <text xml:space="preserve">Junior:
10 a 15€/hora.
Anual bruto: 18.000€ a 26.000€
Senior:
Entre 20 y 30€/hora
Anual bruto: 30.000€ a 50.000€
</text>
  </threadedComment>
  <threadedComment ref="F10" dT="2024-11-15T11:11:23.71" personId="{3EDC0E67-BD0A-4066-B5A6-5710C1674545}" id="{FA465DAD-0304-4988-A889-707647A7D9FA}">
    <text xml:space="preserve">Programador de Videojuegos Junior:
Salario Anual Bruto: Alrededor de 21.500 euros.
Tarifa por Hora Aproximada: Entre 10 y 12 euros.
Programador de Videojuegos con Experiencia Media (4-9 años):
Salario Anual Bruto: Aproximadamente 29.600 euros.
Tarifa por Hora Aproximada: Entre 15 y 18 euros.
Programador de Videojuegos Senior (10-20 años):
Salario Anual Bruto: Alrededor de 45.200 euros.
Tarifa por Hora Aproximada: Entre 23 y 26 euros.
</text>
  </threadedComment>
  <threadedComment ref="F11" dT="2024-11-15T13:04:03.61" personId="{3EDC0E67-BD0A-4066-B5A6-5710C1674545}" id="{A037E7CC-64F4-4938-BAC7-AFC8B5A01648}">
    <text xml:space="preserve">Generalista 3D Junior:
Salario Anual Bruto: Alrededor de 16.000 euros. Glassdoor
Tarifa por Hora Aproximada: Entre 8 y 10 euros.
Generalista 3D con Experiencia Media:
Salario Anual Bruto: Entre 23.000 y 25.000 euros. Stratos Advertising
Tarifa por Hora Aproximada: Entre 12 y 14 euros.
Generalista 3D Senior:
Salario Anual Bruto: Entre 30.000 y 40.000 euros.
Tarifa por Hora Aproximada: Entre 16 y 20 euros.
</text>
    <extLst>
      <x:ext xmlns:xltc2="http://schemas.microsoft.com/office/spreadsheetml/2020/threadedcomments2" uri="{F7C98A9C-CBB3-438F-8F68-D28B6AF4A901}">
        <xltc2:checksum>2284051151</xltc2:checksum>
        <xltc2:hyperlink startIndex="71" length="9" url="https://www.glassdoor.es/Sueldos/junior-3d-generalist-sueldo-SRCH_KO0%2C20.htm"/>
        <xltc2:hyperlink startIndex="217" length="19" url="https://stratos-ad.com/index.php?job=55184"/>
      </x:ext>
    </extLst>
  </threadedComment>
  <threadedComment ref="F12" dT="2024-11-15T11:12:38.64" personId="{3EDC0E67-BD0A-4066-B5A6-5710C1674545}" id="{5BDE36E0-2BAE-414B-A8FA-356AF8BD606F}">
    <text xml:space="preserve">Diseñador de Sonido Junior:
Salario Anual Bruto: Alrededor de 22.366 euros.
Tarifa por Hora Aproximada: Entre 11 y 13 euros.
Diseñador de Sonido Senior:
Salario Anual Bruto: Aproximadamente 39.595 euros.
</text>
  </threadedComment>
  <threadedComment ref="F14" dT="2024-11-15T11:14:03.50" personId="{3EDC0E67-BD0A-4066-B5A6-5710C1674545}" id="{4FFD9154-A7B0-45D2-9916-E379BB716A05}">
    <text xml:space="preserve">Tester de Videojuegos Junior:
Salario Anual Bruto: Entre 18.000 y 22.000 euros.
Tarifa por Hora Aproximada: Entre 9 y 11 euros.
Tester de Videojuegos Senior:
Salario Anual Bruto: Entre 25.000 y 30.000 euros.
Tarifa por Hora Aproximada: Entre 12 y 15 euros.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6" dT="2024-11-15T12:48:03.77" personId="{3EDC0E67-BD0A-4066-B5A6-5710C1674545}" id="{A53E04B8-D7C3-4286-88AA-CAAAC69C78F1}">
    <text>No prorrateamos, ¿deberíamos? Sí. Pero si somos una nueva empresa no lo hacemos.</text>
  </threadedComment>
  <threadedComment ref="E10" dT="2024-11-15T15:05:28.25" personId="{3EDC0E67-BD0A-4066-B5A6-5710C1674545}" id="{E5BD2D9D-3F55-45F0-AB49-56F9B90F509E}">
    <text>https://estore.wacom.com/es-es/wacom-cintiq-pro-24-with-ergo-stand-dtk-2420-stand-bu.html?gad_source=1&amp;gclid=Cj0KCQiA_9u5BhCUARIsABbMSPsAZbu0Q4uZk4Tcu7yQogLgFJs7DnynzjNUxtmB_RDSeDdUNtxTJ8QaAlsOEALw_wcB</text>
    <extLst>
      <x:ext xmlns:xltc2="http://schemas.microsoft.com/office/spreadsheetml/2020/threadedcomments2" uri="{F7C98A9C-CBB3-438F-8F68-D28B6AF4A901}">
        <xltc2:checksum>2636209671</xltc2:checksum>
        <xltc2:hyperlink startIndex="0" length="201" url="https://estore.wacom.com/es-es/wacom-cintiq-pro-24-with-ergo-stand-dtk-2420-stand-bu.html?gad_source=1&amp;gclid=Cj0KCQiA_9u5BhCUARIsABbMSPsAZbu0Q4uZk4Tcu7yQogLgFJs7DnynzjNUxtmB_RDSeDdUNtxTJ8QaAlsOEALw_wcB"/>
      </x:ext>
    </extLs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7" dT="2024-11-15T13:45:04.43" personId="{3EDC0E67-BD0A-4066-B5A6-5710C1674545}" id="{16F5F731-0594-4573-95E9-C06713480300}">
    <text>Tablas a definir en función de los parámetros referentes al GDD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40" dT="2024-11-15T11:55:55.47" personId="{3EDC0E67-BD0A-4066-B5A6-5710C1674545}" id="{3D2BE046-2E91-4440-8AA6-F93823D5194F}">
    <text xml:space="preserve">Rango: 0.5 (muy experimentado) a 1 (poco experimentado) </text>
  </threadedComment>
  <threadedComment ref="C84" dT="2024-11-15T11:55:55.47" personId="{3EDC0E67-BD0A-4066-B5A6-5710C1674545}" id="{F27504FF-E82D-443A-A1D4-A3A6850A4344}">
    <text xml:space="preserve">Rango: 0.5 (muy experimentado) a 1 (poco experimentado) </text>
  </threadedComment>
  <threadedComment ref="C128" dT="2024-11-15T11:55:55.47" personId="{3EDC0E67-BD0A-4066-B5A6-5710C1674545}" id="{0FEA5CDA-CB97-46D8-B6A4-E7F7BBC3672E}">
    <text xml:space="preserve">Rango: 0.5 (muy experimentado) a 1 (poco experimentado) </text>
  </threadedComment>
  <threadedComment ref="C172" dT="2024-11-15T11:55:55.47" personId="{3EDC0E67-BD0A-4066-B5A6-5710C1674545}" id="{31708C0E-2D66-4DF8-8235-A5B1AFC08477}">
    <text xml:space="preserve">Rango: 0.5 (muy experimentado) a 1 (poco experimentado) </text>
  </threadedComment>
  <threadedComment ref="C216" dT="2024-11-15T11:55:55.47" personId="{3EDC0E67-BD0A-4066-B5A6-5710C1674545}" id="{6E806D82-46F0-4C45-91F5-7E12D59F6402}">
    <text xml:space="preserve">Rango: 0.5 (muy experimentado) a 1 (poco experimentado) </text>
  </threadedComment>
  <threadedComment ref="C260" dT="2024-11-15T11:55:55.47" personId="{3EDC0E67-BD0A-4066-B5A6-5710C1674545}" id="{BB2A3B70-AF21-49DE-979A-C82F4338DE72}">
    <text xml:space="preserve">Rango: 0.5 (muy experimentado) a 1 (poco experimentado) </text>
  </threadedComment>
  <threadedComment ref="C304" dT="2024-11-15T11:55:55.47" personId="{3EDC0E67-BD0A-4066-B5A6-5710C1674545}" id="{00E8CFB3-DD1C-4D38-81B8-1A1A408BE6C6}">
    <text xml:space="preserve">Rango: 0.5 (muy experimentado) a 1 (poco experimentado) </text>
  </threadedComment>
  <threadedComment ref="C348" dT="2024-11-15T11:55:55.47" personId="{3EDC0E67-BD0A-4066-B5A6-5710C1674545}" id="{0272BE65-0E7A-4CA0-9246-AF834649120F}">
    <text xml:space="preserve">Rango: 0.5 (muy experimentado) a 1 (poco experimentado) </text>
  </threadedComment>
  <threadedComment ref="C392" dT="2024-11-15T11:55:55.47" personId="{3EDC0E67-BD0A-4066-B5A6-5710C1674545}" id="{724120F4-7149-4AE9-99DB-02769B905432}">
    <text xml:space="preserve">Rango: 0.5 (muy experimentado) a 1 (poco experimentado) </text>
  </threadedComment>
  <threadedComment ref="C436" dT="2024-11-15T11:55:55.47" personId="{3EDC0E67-BD0A-4066-B5A6-5710C1674545}" id="{8792D384-9675-4E8B-88F2-59D569EAD8DE}">
    <text xml:space="preserve">Rango: 0.5 (muy experimentado) a 1 (poco experimentado) </text>
  </threadedComment>
  <threadedComment ref="C480" dT="2024-11-15T11:55:55.47" personId="{3EDC0E67-BD0A-4066-B5A6-5710C1674545}" id="{AD8CBFFC-C18F-48F1-9B9C-58A8717AA845}">
    <text xml:space="preserve">Rango: 0.5 (muy experimentado) a 1 (poco experimentado) </text>
  </threadedComment>
  <threadedComment ref="C524" dT="2024-11-15T11:55:55.47" personId="{3EDC0E67-BD0A-4066-B5A6-5710C1674545}" id="{8436A544-CDCC-4F49-9082-9AA2BEDD2927}">
    <text xml:space="preserve">Rango: 0.5 (muy experimentado) a 1 (poco experimentado)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6" dT="2024-11-15T12:28:58.41" personId="{3EDC0E67-BD0A-4066-B5A6-5710C1674545}" id="{6F73E71E-61E9-4F15-9824-2CE73F4A281B}">
    <text>Estos tiempos variarán en función de la complejidad del diseño de personajes.</text>
  </threadedComment>
  <threadedComment ref="D30" dT="2024-11-15T12:39:22.07" personId="{3EDC0E67-BD0A-4066-B5A6-5710C1674545}" id="{8D701D18-63D6-45F9-988C-E9A618115F3F}">
    <text>https://www.rokoko.com/products/coil-pro
Estoy presuponiendo 1$ = 1€ que será aproximadamente lo que salga con gastos de envío.</text>
    <extLst>
      <x:ext xmlns:xltc2="http://schemas.microsoft.com/office/spreadsheetml/2020/threadedcomments2" uri="{F7C98A9C-CBB3-438F-8F68-D28B6AF4A901}">
        <xltc2:checksum>1017879045</xltc2:checksum>
        <xltc2:hyperlink startIndex="0" length="40" url="https://www.rokoko.com/products/coil-pro"/>
      </x:ext>
    </extLst>
  </threadedComment>
  <threadedComment ref="E30" dT="2024-11-15T12:39:57.83" personId="{3EDC0E67-BD0A-4066-B5A6-5710C1674545}" id="{DDE8B9B6-AC77-4709-8BF2-16E5255BEDEE}">
    <text>https://eu.store.rokoko.com/products/smartsuit-pro-ii?_gl=1*ouvi1i*_gcl_au*MTM2MDA0NzE3MS4xNzMxNjc0MjM4*_ga*OTY2MzIxNTgxLjE3MzE2NzQyMzk.*_ga_2TG4CJCP6E*MTczMTY3NDIzOC4xLjEuMTczMTY3NDM3OS42MC4wLjA.</text>
    <extLst>
      <x:ext xmlns:xltc2="http://schemas.microsoft.com/office/spreadsheetml/2020/threadedcomments2" uri="{F7C98A9C-CBB3-438F-8F68-D28B6AF4A901}">
        <xltc2:checksum>2306534010</xltc2:checksum>
        <xltc2:hyperlink startIndex="0" length="195" url="https://eu.store.rokoko.com/products/smartsuit-pro-ii?_gl=1*ouvi1i*_gcl_au*MTM2MDA0NzE3MS4xNzMxNjc0MjM4*_ga*OTY2MzIxNTgxLjE3MzE2NzQyMzk.*_ga_2TG4CJCP6E*MTczMTY3NDIzOC4xLjEuMTczMTY3NDM3OS42MC4wLjA"/>
      </x:ext>
    </extLst>
  </threadedComment>
  <threadedComment ref="F30" dT="2024-11-15T12:40:29.13" personId="{3EDC0E67-BD0A-4066-B5A6-5710C1674545}" id="{889050CB-EFA5-483A-BCD5-3AE504DE45E8}">
    <text>https://www.rokoko.com/products/smartgloves</text>
    <extLst>
      <x:ext xmlns:xltc2="http://schemas.microsoft.com/office/spreadsheetml/2020/threadedcomments2" uri="{F7C98A9C-CBB3-438F-8F68-D28B6AF4A901}">
        <xltc2:checksum>3661887707</xltc2:checksum>
        <xltc2:hyperlink startIndex="0" length="43" url="https://www.rokoko.com/products/smartgloves"/>
      </x:ext>
    </extLst>
  </threadedComment>
  <threadedComment ref="H32" dT="2024-11-15T12:55:48.72" personId="{3EDC0E67-BD0A-4066-B5A6-5710C1674545}" id="{684C157B-959E-4B2E-BB8E-9426BDEB79CF}">
    <text>El tiempo es muy inferior a 3D animación pura. El acabado más realista y menos expresivo.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4" dT="2024-11-15T13:50:35.65" personId="{3EDC0E67-BD0A-4066-B5A6-5710C1674545}" id="{824B7A83-8338-48EA-908E-FB40C19DC6A6}">
    <text>Depende de la estética escogida.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74DA0-E9E3-4DE9-A9BE-DE0165BB6142}">
  <dimension ref="B2:F16"/>
  <sheetViews>
    <sheetView workbookViewId="0">
      <selection activeCell="D11" sqref="D11"/>
    </sheetView>
  </sheetViews>
  <sheetFormatPr defaultColWidth="11.42578125" defaultRowHeight="14.45"/>
  <cols>
    <col min="1" max="1" width="11.42578125" style="5"/>
    <col min="2" max="2" width="57.28515625" style="5" customWidth="1"/>
    <col min="3" max="3" width="64.5703125" style="5" customWidth="1"/>
    <col min="4" max="4" width="31" style="5" customWidth="1"/>
    <col min="5" max="5" width="14.42578125" style="5" bestFit="1" customWidth="1"/>
    <col min="6" max="6" width="33.5703125" style="5" customWidth="1"/>
    <col min="7" max="16384" width="11.42578125" style="5"/>
  </cols>
  <sheetData>
    <row r="2" spans="2:6">
      <c r="B2" s="5" t="s">
        <v>0</v>
      </c>
    </row>
    <row r="4" spans="2:6">
      <c r="C4" s="8" t="s">
        <v>1</v>
      </c>
      <c r="D4" s="38">
        <f>MATERIALS!D20</f>
        <v>200985</v>
      </c>
    </row>
    <row r="7" spans="2:6">
      <c r="C7" s="8" t="s">
        <v>2</v>
      </c>
      <c r="D7" s="9">
        <v>5</v>
      </c>
    </row>
    <row r="8" spans="2:6">
      <c r="C8" s="8" t="s">
        <v>3</v>
      </c>
      <c r="D8" s="38">
        <f>'DEVELOPMENT SPRINT BUDGET'!J18</f>
        <v>196000</v>
      </c>
    </row>
    <row r="10" spans="2:6">
      <c r="D10" s="42" t="s">
        <v>4</v>
      </c>
      <c r="E10" s="42" t="s">
        <v>5</v>
      </c>
      <c r="F10" s="42" t="s">
        <v>6</v>
      </c>
    </row>
    <row r="11" spans="2:6">
      <c r="C11" s="8" t="s">
        <v>7</v>
      </c>
      <c r="D11" s="38">
        <f>SUM('DEVELOPMENT SPRINT BUDGET'!D5:D16)*'TOTAL BUDGET'!D7</f>
        <v>1460</v>
      </c>
      <c r="E11" s="9">
        <v>25</v>
      </c>
      <c r="F11" s="9">
        <f>D11*E11*7</f>
        <v>255500</v>
      </c>
    </row>
    <row r="14" spans="2:6">
      <c r="D14" s="9">
        <f>MATERIALS!D6+D7*D8+F11</f>
        <v>1242485</v>
      </c>
    </row>
    <row r="15" spans="2:6">
      <c r="C15" s="8" t="s">
        <v>8</v>
      </c>
      <c r="D15" s="9">
        <f>0.25*D14</f>
        <v>310621.25</v>
      </c>
    </row>
    <row r="16" spans="2:6">
      <c r="C16" s="25" t="s">
        <v>9</v>
      </c>
      <c r="D16" s="15">
        <f>SUM(D14:D15)</f>
        <v>1553106.25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7C590-EDD8-4F83-94AC-4799F3D5BC55}">
  <dimension ref="B3:O32"/>
  <sheetViews>
    <sheetView tabSelected="1" workbookViewId="0">
      <selection activeCell="D17" sqref="D17"/>
    </sheetView>
  </sheetViews>
  <sheetFormatPr defaultColWidth="11.42578125" defaultRowHeight="14.45"/>
  <cols>
    <col min="1" max="1" width="11.42578125" style="5"/>
    <col min="2" max="2" width="43.140625" style="5" customWidth="1"/>
    <col min="3" max="3" width="37.5703125" style="5" customWidth="1"/>
    <col min="4" max="4" width="19.28515625" style="5" customWidth="1"/>
    <col min="5" max="5" width="32.7109375" style="5" customWidth="1"/>
    <col min="6" max="6" width="41.140625" style="5" customWidth="1"/>
    <col min="7" max="7" width="36" style="5" customWidth="1"/>
    <col min="8" max="9" width="39" style="5" customWidth="1"/>
    <col min="10" max="10" width="32.28515625" style="5" customWidth="1"/>
    <col min="11" max="14" width="11.42578125" style="5"/>
    <col min="15" max="15" width="11.5703125" customWidth="1"/>
    <col min="16" max="16384" width="11.42578125" style="5"/>
  </cols>
  <sheetData>
    <row r="3" spans="2:10">
      <c r="B3" s="4" t="s">
        <v>10</v>
      </c>
    </row>
    <row r="4" spans="2:10">
      <c r="D4" s="10" t="s">
        <v>11</v>
      </c>
      <c r="E4" s="11" t="s">
        <v>12</v>
      </c>
      <c r="F4" s="11" t="s">
        <v>13</v>
      </c>
      <c r="G4" s="11" t="s">
        <v>14</v>
      </c>
      <c r="H4" s="11" t="s">
        <v>15</v>
      </c>
      <c r="I4" s="11" t="s">
        <v>16</v>
      </c>
      <c r="J4" s="11" t="s">
        <v>17</v>
      </c>
    </row>
    <row r="5" spans="2:10">
      <c r="B5" s="1"/>
      <c r="C5" s="8" t="s">
        <v>18</v>
      </c>
      <c r="D5" s="9">
        <v>35</v>
      </c>
      <c r="E5" s="44">
        <f>D5*7</f>
        <v>245</v>
      </c>
      <c r="F5" s="12">
        <v>30</v>
      </c>
      <c r="G5" s="12">
        <v>3</v>
      </c>
      <c r="H5" s="12">
        <v>15</v>
      </c>
      <c r="I5" s="12">
        <v>2</v>
      </c>
      <c r="J5" s="44">
        <f>E5*(F5*G5+H5*I5)</f>
        <v>29400</v>
      </c>
    </row>
    <row r="6" spans="2:10">
      <c r="B6" s="1" t="s">
        <v>19</v>
      </c>
      <c r="C6" s="8" t="s">
        <v>20</v>
      </c>
      <c r="D6" s="9">
        <v>15</v>
      </c>
      <c r="E6" s="44">
        <f>D6*7</f>
        <v>105</v>
      </c>
      <c r="F6" s="12">
        <v>30</v>
      </c>
      <c r="G6" s="12">
        <v>2</v>
      </c>
      <c r="H6" s="12">
        <v>15</v>
      </c>
      <c r="I6" s="12">
        <v>0</v>
      </c>
      <c r="J6" s="44">
        <f t="shared" ref="J6:J16" si="0">E6*(F6*G6+H6*I6)</f>
        <v>6300</v>
      </c>
    </row>
    <row r="7" spans="2:10">
      <c r="B7" s="1"/>
      <c r="C7" s="8" t="s">
        <v>21</v>
      </c>
      <c r="D7" s="9">
        <v>15</v>
      </c>
      <c r="E7" s="44">
        <f>D7*7</f>
        <v>105</v>
      </c>
      <c r="F7" s="12">
        <v>30</v>
      </c>
      <c r="G7" s="12">
        <v>2</v>
      </c>
      <c r="H7" s="12">
        <v>15</v>
      </c>
      <c r="I7" s="12">
        <v>1</v>
      </c>
      <c r="J7" s="44">
        <f t="shared" si="0"/>
        <v>7875</v>
      </c>
    </row>
    <row r="8" spans="2:10">
      <c r="G8" s="13"/>
    </row>
    <row r="9" spans="2:10">
      <c r="B9" s="2"/>
      <c r="C9" s="8" t="s">
        <v>22</v>
      </c>
      <c r="D9" s="38">
        <f>ROUNDUP('ANIMATION Est.TIME'!J43/7,0)</f>
        <v>91</v>
      </c>
      <c r="E9" s="45">
        <f>D9*7</f>
        <v>637</v>
      </c>
      <c r="F9" s="12">
        <v>30</v>
      </c>
      <c r="G9" s="12">
        <v>2</v>
      </c>
      <c r="H9" s="12">
        <v>15</v>
      </c>
      <c r="I9" s="12">
        <v>1</v>
      </c>
      <c r="J9" s="44">
        <f t="shared" si="0"/>
        <v>47775</v>
      </c>
    </row>
    <row r="10" spans="2:10">
      <c r="B10" s="1" t="s">
        <v>23</v>
      </c>
      <c r="C10" s="8" t="s">
        <v>24</v>
      </c>
      <c r="D10" s="38">
        <f>'PROGRAMMING TOTAL Est. TIME'!E12</f>
        <v>78</v>
      </c>
      <c r="E10" s="45">
        <f>D10*7</f>
        <v>546</v>
      </c>
      <c r="F10" s="12">
        <v>26</v>
      </c>
      <c r="G10" s="12">
        <v>3</v>
      </c>
      <c r="H10" s="12">
        <v>15</v>
      </c>
      <c r="I10" s="12">
        <v>5</v>
      </c>
      <c r="J10" s="44">
        <f t="shared" si="0"/>
        <v>83538</v>
      </c>
    </row>
    <row r="11" spans="2:10">
      <c r="B11" s="1"/>
      <c r="C11" s="8" t="s">
        <v>25</v>
      </c>
      <c r="D11" s="38">
        <f>'ENVIRONMENT Est TIME'!F12</f>
        <v>46</v>
      </c>
      <c r="E11" s="45">
        <f>D11*7</f>
        <v>322</v>
      </c>
      <c r="F11" s="12">
        <v>20</v>
      </c>
      <c r="G11" s="12">
        <v>2</v>
      </c>
      <c r="H11" s="12">
        <v>15</v>
      </c>
      <c r="I11" s="12">
        <v>1</v>
      </c>
      <c r="J11" s="44">
        <f t="shared" si="0"/>
        <v>17710</v>
      </c>
    </row>
    <row r="12" spans="2:10">
      <c r="B12" s="2"/>
      <c r="C12" s="8" t="s">
        <v>26</v>
      </c>
      <c r="D12" s="9">
        <v>3</v>
      </c>
      <c r="E12" s="45">
        <f>D12*7</f>
        <v>21</v>
      </c>
      <c r="F12" s="12">
        <v>20</v>
      </c>
      <c r="G12" s="12">
        <v>1</v>
      </c>
      <c r="H12" s="12">
        <v>15</v>
      </c>
      <c r="I12" s="12">
        <v>1</v>
      </c>
      <c r="J12" s="44">
        <f t="shared" si="0"/>
        <v>735</v>
      </c>
    </row>
    <row r="13" spans="2:10">
      <c r="G13" s="13"/>
    </row>
    <row r="14" spans="2:10">
      <c r="B14" s="2"/>
      <c r="C14" s="8" t="s">
        <v>27</v>
      </c>
      <c r="D14" s="9">
        <v>5</v>
      </c>
      <c r="E14" s="44">
        <f>D14*7</f>
        <v>35</v>
      </c>
      <c r="F14" s="14">
        <v>15</v>
      </c>
      <c r="G14" s="12">
        <v>2</v>
      </c>
      <c r="H14" s="12">
        <v>9</v>
      </c>
      <c r="I14" s="12">
        <v>1</v>
      </c>
      <c r="J14" s="44">
        <f t="shared" si="0"/>
        <v>1365</v>
      </c>
    </row>
    <row r="15" spans="2:10">
      <c r="B15" s="1" t="s">
        <v>28</v>
      </c>
      <c r="C15" s="8" t="s">
        <v>29</v>
      </c>
      <c r="D15" s="9">
        <v>2</v>
      </c>
      <c r="E15" s="44">
        <f>D15*7</f>
        <v>14</v>
      </c>
      <c r="F15" s="14">
        <v>15</v>
      </c>
      <c r="G15" s="12">
        <v>3</v>
      </c>
      <c r="H15" s="12">
        <v>9</v>
      </c>
      <c r="I15" s="12">
        <v>1</v>
      </c>
      <c r="J15" s="44">
        <f t="shared" si="0"/>
        <v>756</v>
      </c>
    </row>
    <row r="16" spans="2:10">
      <c r="B16" s="2"/>
      <c r="C16" s="8" t="s">
        <v>30</v>
      </c>
      <c r="D16" s="9">
        <v>2</v>
      </c>
      <c r="E16" s="44">
        <f>D16*7</f>
        <v>14</v>
      </c>
      <c r="F16" s="14">
        <v>15</v>
      </c>
      <c r="G16" s="12">
        <v>2</v>
      </c>
      <c r="H16" s="12">
        <v>9</v>
      </c>
      <c r="I16" s="12">
        <v>1</v>
      </c>
      <c r="J16" s="44">
        <f t="shared" si="0"/>
        <v>546</v>
      </c>
    </row>
    <row r="18" spans="2:10">
      <c r="B18" s="3" t="s">
        <v>9</v>
      </c>
      <c r="C18" s="3"/>
      <c r="D18" s="3"/>
      <c r="E18" s="3"/>
      <c r="F18" s="3"/>
      <c r="G18" s="3"/>
      <c r="H18" s="3"/>
      <c r="I18" s="3"/>
      <c r="J18" s="15">
        <f>SUM(J5:J16)</f>
        <v>196000</v>
      </c>
    </row>
    <row r="23" spans="2:10">
      <c r="E23" s="5" t="s">
        <v>31</v>
      </c>
    </row>
    <row r="24" spans="2:10">
      <c r="E24" s="5" t="s">
        <v>32</v>
      </c>
    </row>
    <row r="25" spans="2:10">
      <c r="E25" s="5" t="s">
        <v>33</v>
      </c>
    </row>
    <row r="26" spans="2:10">
      <c r="E26" s="5" t="s">
        <v>34</v>
      </c>
    </row>
    <row r="27" spans="2:10">
      <c r="E27" s="5" t="s">
        <v>35</v>
      </c>
    </row>
    <row r="28" spans="2:10">
      <c r="E28" s="5" t="s">
        <v>36</v>
      </c>
    </row>
    <row r="29" spans="2:10">
      <c r="E29" s="5" t="s">
        <v>37</v>
      </c>
    </row>
    <row r="31" spans="2:10">
      <c r="E31" s="5" t="s">
        <v>38</v>
      </c>
    </row>
    <row r="32" spans="2:10">
      <c r="E32" s="5" t="s">
        <v>39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741B-4FA9-4BD2-AB14-CBC2F5607439}">
  <dimension ref="B3:F20"/>
  <sheetViews>
    <sheetView workbookViewId="0">
      <selection activeCell="E17" sqref="E17"/>
    </sheetView>
  </sheetViews>
  <sheetFormatPr defaultColWidth="11.42578125" defaultRowHeight="14.45"/>
  <cols>
    <col min="1" max="2" width="11.42578125" style="5"/>
    <col min="3" max="3" width="46.5703125" style="5" customWidth="1"/>
    <col min="4" max="4" width="30.5703125" style="5" customWidth="1"/>
    <col min="5" max="5" width="22.85546875" style="5" customWidth="1"/>
    <col min="6" max="6" width="12.28515625" style="5" bestFit="1" customWidth="1"/>
    <col min="7" max="16384" width="11.42578125" style="5"/>
  </cols>
  <sheetData>
    <row r="3" spans="2:6">
      <c r="B3" s="5" t="s">
        <v>1</v>
      </c>
    </row>
    <row r="5" spans="2:6">
      <c r="C5" s="8" t="s">
        <v>40</v>
      </c>
      <c r="D5" s="8" t="s">
        <v>41</v>
      </c>
    </row>
    <row r="6" spans="2:6">
      <c r="C6" s="38" t="str">
        <f>IF('ANIMATION Est.TIME'!$I$35&gt;0,"Y","N")</f>
        <v>Y</v>
      </c>
      <c r="D6" s="38">
        <f>IF(C6="Y",SUM('ANIMATION Est.TIME'!D30:F30),0)</f>
        <v>6985</v>
      </c>
    </row>
    <row r="9" spans="2:6">
      <c r="D9" s="8" t="s">
        <v>42</v>
      </c>
      <c r="E9" s="8" t="s">
        <v>6</v>
      </c>
      <c r="F9" s="8" t="s">
        <v>9</v>
      </c>
    </row>
    <row r="10" spans="2:6">
      <c r="C10" s="8" t="s">
        <v>43</v>
      </c>
      <c r="D10" s="38">
        <f>'DEVELOPMENT SPRINT BUDGET'!G5+'DEVELOPMENT SPRINT BUDGET'!G6+'DEVELOPMENT SPRINT BUDGET'!G7+'DEVELOPMENT SPRINT BUDGET'!G9+'DEVELOPMENT SPRINT BUDGET'!G11</f>
        <v>11</v>
      </c>
      <c r="E10" s="9">
        <v>1000</v>
      </c>
      <c r="F10" s="38">
        <f>D10*E10</f>
        <v>11000</v>
      </c>
    </row>
    <row r="11" spans="2:6">
      <c r="C11" s="8" t="s">
        <v>44</v>
      </c>
      <c r="D11" s="38">
        <f>'DEVELOPMENT SPRINT BUDGET'!G5+'DEVELOPMENT SPRINT BUDGET'!G10+'DEVELOPMENT SPRINT BUDGET'!G11+'DEVELOPMENT SPRINT BUDGET'!G9</f>
        <v>10</v>
      </c>
      <c r="E11" s="9">
        <v>4000</v>
      </c>
      <c r="F11" s="38">
        <f>D11*E11</f>
        <v>40000</v>
      </c>
    </row>
    <row r="12" spans="2:6">
      <c r="C12" s="8" t="s">
        <v>45</v>
      </c>
      <c r="D12" s="38">
        <f>'DEVELOPMENT SPRINT BUDGET'!G6+'DEVELOPMENT SPRINT BUDGET'!G7+'DEVELOPMENT SPRINT BUDGET'!G12+'DEVELOPMENT SPRINT BUDGET'!G14+'DEVELOPMENT SPRINT BUDGET'!G15+'DEVELOPMENT SPRINT BUDGET'!G16</f>
        <v>12</v>
      </c>
      <c r="E12" s="9">
        <v>1500</v>
      </c>
      <c r="F12" s="38">
        <f>D12*E12</f>
        <v>18000</v>
      </c>
    </row>
    <row r="13" spans="2:6" ht="15"/>
    <row r="14" spans="2:6" ht="15">
      <c r="E14" s="43" t="s">
        <v>46</v>
      </c>
      <c r="F14" s="8" t="s">
        <v>9</v>
      </c>
    </row>
    <row r="15" spans="2:6" ht="15">
      <c r="C15" s="8" t="s">
        <v>47</v>
      </c>
      <c r="D15" s="9">
        <v>2500</v>
      </c>
      <c r="E15" s="38">
        <f>ROUNDUP('TOTAL BUDGET'!D11/30,0)</f>
        <v>49</v>
      </c>
      <c r="F15" s="38">
        <f>D15*E15</f>
        <v>122500</v>
      </c>
    </row>
    <row r="17" spans="3:4" ht="15">
      <c r="C17" s="8" t="s">
        <v>48</v>
      </c>
      <c r="D17" s="38">
        <f>SUM(D6,F10,F11,F12,D15)</f>
        <v>78485</v>
      </c>
    </row>
    <row r="18" spans="3:4" ht="15">
      <c r="C18" s="8" t="s">
        <v>49</v>
      </c>
      <c r="D18" s="38">
        <f>ROUND(D17/(4*365)*'TOTAL BUDGET'!D11,2)</f>
        <v>78485</v>
      </c>
    </row>
    <row r="20" spans="3:4" ht="15">
      <c r="C20" s="7" t="s">
        <v>50</v>
      </c>
      <c r="D20" s="20">
        <f>D18+F15</f>
        <v>200985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33E7-1E59-4B73-A9D2-A9FAE005F078}">
  <dimension ref="C2:E21"/>
  <sheetViews>
    <sheetView workbookViewId="0">
      <selection activeCell="D31" sqref="D31"/>
    </sheetView>
  </sheetViews>
  <sheetFormatPr defaultColWidth="11.42578125" defaultRowHeight="14.45"/>
  <cols>
    <col min="1" max="3" width="11.42578125" style="5"/>
    <col min="4" max="4" width="88.140625" style="5" customWidth="1"/>
    <col min="5" max="5" width="69.28515625" style="5" customWidth="1"/>
    <col min="6" max="6" width="59.7109375" style="5" customWidth="1"/>
    <col min="7" max="16384" width="11.42578125" style="5"/>
  </cols>
  <sheetData>
    <row r="2" spans="3:5">
      <c r="C2" s="5" t="s">
        <v>51</v>
      </c>
    </row>
    <row r="4" spans="3:5">
      <c r="E4" s="40" t="s">
        <v>11</v>
      </c>
    </row>
    <row r="5" spans="3:5">
      <c r="D5" s="23" t="s">
        <v>52</v>
      </c>
      <c r="E5" s="39">
        <f>'PROGRAMMING MECHANIC Est. TIME'!C532</f>
        <v>32</v>
      </c>
    </row>
    <row r="6" spans="3:5">
      <c r="D6" s="23" t="s">
        <v>53</v>
      </c>
      <c r="E6" s="39">
        <f>E21</f>
        <v>11</v>
      </c>
    </row>
    <row r="7" spans="3:5">
      <c r="D7" s="23" t="s">
        <v>54</v>
      </c>
      <c r="E7" s="24">
        <v>20</v>
      </c>
    </row>
    <row r="8" spans="3:5">
      <c r="D8" s="23" t="s">
        <v>55</v>
      </c>
      <c r="E8" s="24">
        <v>0</v>
      </c>
    </row>
    <row r="9" spans="3:5">
      <c r="D9" s="23" t="s">
        <v>56</v>
      </c>
      <c r="E9" s="24">
        <v>3</v>
      </c>
    </row>
    <row r="10" spans="3:5">
      <c r="D10" s="23" t="s">
        <v>57</v>
      </c>
      <c r="E10" s="24">
        <v>7</v>
      </c>
    </row>
    <row r="11" spans="3:5">
      <c r="D11" s="23" t="s">
        <v>58</v>
      </c>
      <c r="E11" s="24">
        <v>5</v>
      </c>
    </row>
    <row r="12" spans="3:5">
      <c r="D12" s="7" t="s">
        <v>59</v>
      </c>
      <c r="E12" s="20">
        <f>SUM(E5:E11)</f>
        <v>78</v>
      </c>
    </row>
    <row r="17" spans="4:5">
      <c r="D17" s="5" t="s">
        <v>60</v>
      </c>
    </row>
    <row r="18" spans="4:5">
      <c r="D18" s="4" t="s">
        <v>61</v>
      </c>
      <c r="E18" s="9">
        <v>10</v>
      </c>
    </row>
    <row r="19" spans="4:5">
      <c r="D19" s="41" t="s">
        <v>62</v>
      </c>
      <c r="E19" s="9">
        <v>3</v>
      </c>
    </row>
    <row r="20" spans="4:5">
      <c r="D20" s="4" t="s">
        <v>63</v>
      </c>
      <c r="E20" s="9">
        <v>6</v>
      </c>
    </row>
    <row r="21" spans="4:5">
      <c r="D21" s="7" t="s">
        <v>11</v>
      </c>
      <c r="E21" s="20">
        <f>ROUNDUP(E19*(E20*3/10)+(E18/2),0)</f>
        <v>11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53D80-8B6F-4AB2-AFA5-4B8F81F84C82}">
  <dimension ref="B3:C532"/>
  <sheetViews>
    <sheetView topLeftCell="A306" workbookViewId="0">
      <selection activeCell="C354" sqref="C354"/>
    </sheetView>
  </sheetViews>
  <sheetFormatPr defaultColWidth="11.42578125" defaultRowHeight="14.45"/>
  <cols>
    <col min="1" max="1" width="11.42578125" style="5"/>
    <col min="2" max="2" width="88.7109375" style="5" customWidth="1"/>
    <col min="3" max="3" width="77.28515625" style="5" customWidth="1"/>
    <col min="4" max="16384" width="11.42578125" style="5"/>
  </cols>
  <sheetData>
    <row r="3" spans="2:3">
      <c r="B3" s="6" t="s">
        <v>64</v>
      </c>
    </row>
    <row r="5" spans="2:3">
      <c r="B5" s="17" t="s">
        <v>65</v>
      </c>
      <c r="C5" s="9" t="s">
        <v>66</v>
      </c>
    </row>
    <row r="6" spans="2:3">
      <c r="B6" s="16"/>
    </row>
    <row r="7" spans="2:3">
      <c r="B7" s="16"/>
    </row>
    <row r="8" spans="2:3" ht="15">
      <c r="B8" s="17" t="s">
        <v>67</v>
      </c>
      <c r="C8" s="46" t="s">
        <v>68</v>
      </c>
    </row>
    <row r="9" spans="2:3">
      <c r="B9" s="16"/>
      <c r="C9" s="47"/>
    </row>
    <row r="10" spans="2:3">
      <c r="B10" s="16"/>
      <c r="C10" s="47"/>
    </row>
    <row r="11" spans="2:3">
      <c r="B11" s="16"/>
      <c r="C11" s="47"/>
    </row>
    <row r="12" spans="2:3">
      <c r="B12" s="16"/>
      <c r="C12" s="47"/>
    </row>
    <row r="13" spans="2:3">
      <c r="B13" s="16"/>
    </row>
    <row r="14" spans="2:3">
      <c r="B14" s="17" t="s">
        <v>69</v>
      </c>
      <c r="C14" s="9" t="s">
        <v>70</v>
      </c>
    </row>
    <row r="15" spans="2:3">
      <c r="B15" s="19" t="s">
        <v>71</v>
      </c>
      <c r="C15" s="9" t="s">
        <v>72</v>
      </c>
    </row>
    <row r="16" spans="2:3">
      <c r="B16" s="16"/>
      <c r="C16" s="9"/>
    </row>
    <row r="17" spans="2:3">
      <c r="B17" s="16"/>
    </row>
    <row r="18" spans="2:3">
      <c r="B18" s="17" t="s">
        <v>73</v>
      </c>
      <c r="C18" s="9">
        <v>6</v>
      </c>
    </row>
    <row r="19" spans="2:3">
      <c r="B19" s="16"/>
    </row>
    <row r="20" spans="2:3">
      <c r="B20" s="16"/>
    </row>
    <row r="21" spans="2:3">
      <c r="B21" s="17" t="s">
        <v>74</v>
      </c>
      <c r="C21" s="9">
        <v>5</v>
      </c>
    </row>
    <row r="22" spans="2:3">
      <c r="B22" s="19" t="s">
        <v>75</v>
      </c>
    </row>
    <row r="23" spans="2:3">
      <c r="B23" s="19" t="s">
        <v>76</v>
      </c>
    </row>
    <row r="24" spans="2:3">
      <c r="B24" s="16"/>
    </row>
    <row r="25" spans="2:3">
      <c r="B25" s="16"/>
    </row>
    <row r="26" spans="2:3">
      <c r="B26" s="17" t="s">
        <v>77</v>
      </c>
      <c r="C26" s="9">
        <v>6</v>
      </c>
    </row>
    <row r="27" spans="2:3">
      <c r="B27" s="17" t="s">
        <v>78</v>
      </c>
    </row>
    <row r="28" spans="2:3">
      <c r="B28" s="16"/>
    </row>
    <row r="30" spans="2:3">
      <c r="B30" s="17" t="s">
        <v>79</v>
      </c>
      <c r="C30" s="9">
        <v>4</v>
      </c>
    </row>
    <row r="31" spans="2:3">
      <c r="B31" s="16"/>
    </row>
    <row r="32" spans="2:3">
      <c r="B32" s="17" t="s">
        <v>80</v>
      </c>
      <c r="C32" s="9">
        <v>5</v>
      </c>
    </row>
    <row r="33" spans="2:3">
      <c r="B33" s="17" t="s">
        <v>81</v>
      </c>
    </row>
    <row r="34" spans="2:3">
      <c r="B34" s="16"/>
    </row>
    <row r="35" spans="2:3">
      <c r="B35" s="17" t="s">
        <v>82</v>
      </c>
      <c r="C35" s="9">
        <v>9</v>
      </c>
    </row>
    <row r="36" spans="2:3">
      <c r="B36" s="16"/>
    </row>
    <row r="37" spans="2:3">
      <c r="B37" s="17" t="s">
        <v>83</v>
      </c>
      <c r="C37" s="9">
        <v>6</v>
      </c>
    </row>
    <row r="38" spans="2:3">
      <c r="B38" s="17" t="s">
        <v>84</v>
      </c>
    </row>
    <row r="40" spans="2:3">
      <c r="B40" s="3" t="s">
        <v>85</v>
      </c>
      <c r="C40" s="4">
        <f>1-(C37/20)</f>
        <v>0.7</v>
      </c>
    </row>
    <row r="43" spans="2:3">
      <c r="B43" s="3" t="s">
        <v>86</v>
      </c>
      <c r="C43" s="20">
        <f>ROUNDUP((0.3*C18+0.2*C21+0.2*C26+0.15*C30+0.1*C32+0.05*C35)*C40,0)</f>
        <v>4</v>
      </c>
    </row>
    <row r="47" spans="2:3">
      <c r="B47" s="6" t="s">
        <v>87</v>
      </c>
    </row>
    <row r="49" spans="2:3">
      <c r="B49" s="17" t="s">
        <v>65</v>
      </c>
      <c r="C49" s="9" t="s">
        <v>88</v>
      </c>
    </row>
    <row r="50" spans="2:3">
      <c r="B50" s="16"/>
    </row>
    <row r="51" spans="2:3">
      <c r="B51" s="16"/>
    </row>
    <row r="52" spans="2:3" ht="15">
      <c r="B52" s="17" t="s">
        <v>67</v>
      </c>
      <c r="C52" s="46" t="s">
        <v>89</v>
      </c>
    </row>
    <row r="53" spans="2:3">
      <c r="B53" s="16"/>
      <c r="C53" s="47"/>
    </row>
    <row r="54" spans="2:3">
      <c r="B54" s="16"/>
      <c r="C54" s="47"/>
    </row>
    <row r="55" spans="2:3">
      <c r="B55" s="16"/>
      <c r="C55" s="47"/>
    </row>
    <row r="56" spans="2:3">
      <c r="B56" s="16"/>
      <c r="C56" s="47"/>
    </row>
    <row r="57" spans="2:3">
      <c r="B57" s="16"/>
    </row>
    <row r="58" spans="2:3">
      <c r="B58" s="17" t="s">
        <v>69</v>
      </c>
      <c r="C58" s="9" t="s">
        <v>90</v>
      </c>
    </row>
    <row r="59" spans="2:3">
      <c r="B59" s="19" t="s">
        <v>71</v>
      </c>
      <c r="C59" s="9" t="s">
        <v>91</v>
      </c>
    </row>
    <row r="60" spans="2:3">
      <c r="B60" s="16"/>
      <c r="C60" s="9" t="s">
        <v>92</v>
      </c>
    </row>
    <row r="61" spans="2:3">
      <c r="B61" s="16"/>
    </row>
    <row r="62" spans="2:3">
      <c r="B62" s="17" t="s">
        <v>73</v>
      </c>
      <c r="C62" s="9">
        <v>4</v>
      </c>
    </row>
    <row r="63" spans="2:3">
      <c r="B63" s="16"/>
    </row>
    <row r="64" spans="2:3">
      <c r="B64" s="16"/>
    </row>
    <row r="65" spans="2:3">
      <c r="B65" s="17" t="s">
        <v>74</v>
      </c>
      <c r="C65" s="9">
        <v>4</v>
      </c>
    </row>
    <row r="66" spans="2:3">
      <c r="B66" s="19" t="s">
        <v>75</v>
      </c>
    </row>
    <row r="67" spans="2:3">
      <c r="B67" s="19" t="s">
        <v>76</v>
      </c>
    </row>
    <row r="68" spans="2:3">
      <c r="B68" s="16"/>
    </row>
    <row r="69" spans="2:3">
      <c r="B69" s="16"/>
    </row>
    <row r="70" spans="2:3">
      <c r="B70" s="17" t="s">
        <v>77</v>
      </c>
      <c r="C70" s="9">
        <v>5</v>
      </c>
    </row>
    <row r="71" spans="2:3">
      <c r="B71" s="17" t="s">
        <v>78</v>
      </c>
    </row>
    <row r="72" spans="2:3">
      <c r="B72" s="16"/>
    </row>
    <row r="74" spans="2:3">
      <c r="B74" s="17" t="s">
        <v>79</v>
      </c>
      <c r="C74" s="9">
        <v>3</v>
      </c>
    </row>
    <row r="75" spans="2:3">
      <c r="B75" s="16"/>
    </row>
    <row r="76" spans="2:3">
      <c r="B76" s="17" t="s">
        <v>80</v>
      </c>
      <c r="C76" s="9">
        <v>5</v>
      </c>
    </row>
    <row r="77" spans="2:3">
      <c r="B77" s="17" t="s">
        <v>81</v>
      </c>
    </row>
    <row r="78" spans="2:3">
      <c r="B78" s="16"/>
    </row>
    <row r="79" spans="2:3">
      <c r="B79" s="17" t="s">
        <v>82</v>
      </c>
      <c r="C79" s="9">
        <v>6</v>
      </c>
    </row>
    <row r="80" spans="2:3">
      <c r="B80" s="16"/>
    </row>
    <row r="81" spans="2:3">
      <c r="B81" s="17" t="s">
        <v>83</v>
      </c>
      <c r="C81" s="9">
        <v>6</v>
      </c>
    </row>
    <row r="82" spans="2:3">
      <c r="B82" s="17" t="s">
        <v>84</v>
      </c>
    </row>
    <row r="84" spans="2:3">
      <c r="B84" s="3" t="s">
        <v>85</v>
      </c>
      <c r="C84" s="4">
        <f>1-(C81/20)</f>
        <v>0.7</v>
      </c>
    </row>
    <row r="87" spans="2:3">
      <c r="B87" s="3" t="s">
        <v>86</v>
      </c>
      <c r="C87" s="20">
        <f>ROUNDUP((0.3*C62+0.2*C65+0.2*C70+0.15*C74+0.1*C76+0.05*C79)*C84,0)</f>
        <v>3</v>
      </c>
    </row>
    <row r="91" spans="2:3">
      <c r="B91" s="6" t="s">
        <v>93</v>
      </c>
    </row>
    <row r="93" spans="2:3">
      <c r="B93" s="17" t="s">
        <v>65</v>
      </c>
      <c r="C93" s="9" t="s">
        <v>94</v>
      </c>
    </row>
    <row r="94" spans="2:3">
      <c r="B94" s="16"/>
    </row>
    <row r="95" spans="2:3">
      <c r="B95" s="16"/>
    </row>
    <row r="96" spans="2:3" ht="15">
      <c r="B96" s="17" t="s">
        <v>67</v>
      </c>
      <c r="C96" s="18" t="s">
        <v>95</v>
      </c>
    </row>
    <row r="97" spans="2:3">
      <c r="B97" s="16"/>
      <c r="C97" s="18" t="s">
        <v>96</v>
      </c>
    </row>
    <row r="98" spans="2:3">
      <c r="B98" s="16"/>
      <c r="C98" s="18" t="s">
        <v>97</v>
      </c>
    </row>
    <row r="99" spans="2:3">
      <c r="B99" s="16"/>
      <c r="C99" s="18" t="s">
        <v>98</v>
      </c>
    </row>
    <row r="100" spans="2:3">
      <c r="B100" s="16"/>
      <c r="C100" s="18"/>
    </row>
    <row r="101" spans="2:3">
      <c r="B101" s="16"/>
    </row>
    <row r="102" spans="2:3">
      <c r="B102" s="17" t="s">
        <v>69</v>
      </c>
      <c r="C102" s="9" t="s">
        <v>99</v>
      </c>
    </row>
    <row r="103" spans="2:3">
      <c r="B103" s="19" t="s">
        <v>71</v>
      </c>
      <c r="C103" s="9"/>
    </row>
    <row r="104" spans="2:3">
      <c r="B104" s="16"/>
      <c r="C104" s="9"/>
    </row>
    <row r="105" spans="2:3">
      <c r="B105" s="16"/>
    </row>
    <row r="106" spans="2:3">
      <c r="B106" s="17" t="s">
        <v>73</v>
      </c>
      <c r="C106" s="9">
        <v>6</v>
      </c>
    </row>
    <row r="107" spans="2:3">
      <c r="B107" s="16"/>
    </row>
    <row r="108" spans="2:3">
      <c r="B108" s="16"/>
    </row>
    <row r="109" spans="2:3">
      <c r="B109" s="17" t="s">
        <v>74</v>
      </c>
      <c r="C109" s="9">
        <v>6</v>
      </c>
    </row>
    <row r="110" spans="2:3">
      <c r="B110" s="19" t="s">
        <v>75</v>
      </c>
    </row>
    <row r="111" spans="2:3">
      <c r="B111" s="19" t="s">
        <v>76</v>
      </c>
    </row>
    <row r="112" spans="2:3">
      <c r="B112" s="16"/>
    </row>
    <row r="113" spans="2:3">
      <c r="B113" s="16"/>
    </row>
    <row r="114" spans="2:3">
      <c r="B114" s="17" t="s">
        <v>77</v>
      </c>
      <c r="C114" s="9">
        <v>6</v>
      </c>
    </row>
    <row r="115" spans="2:3">
      <c r="B115" s="17" t="s">
        <v>78</v>
      </c>
    </row>
    <row r="116" spans="2:3">
      <c r="B116" s="16"/>
    </row>
    <row r="118" spans="2:3">
      <c r="B118" s="17" t="s">
        <v>79</v>
      </c>
      <c r="C118" s="9">
        <v>4</v>
      </c>
    </row>
    <row r="119" spans="2:3">
      <c r="B119" s="16"/>
    </row>
    <row r="120" spans="2:3">
      <c r="B120" s="17" t="s">
        <v>80</v>
      </c>
      <c r="C120" s="9">
        <v>5</v>
      </c>
    </row>
    <row r="121" spans="2:3">
      <c r="B121" s="17" t="s">
        <v>81</v>
      </c>
    </row>
    <row r="122" spans="2:3">
      <c r="B122" s="16"/>
    </row>
    <row r="123" spans="2:3">
      <c r="B123" s="17" t="s">
        <v>82</v>
      </c>
      <c r="C123" s="9">
        <v>8</v>
      </c>
    </row>
    <row r="124" spans="2:3">
      <c r="B124" s="16"/>
    </row>
    <row r="125" spans="2:3">
      <c r="B125" s="17" t="s">
        <v>83</v>
      </c>
      <c r="C125" s="9">
        <v>6</v>
      </c>
    </row>
    <row r="126" spans="2:3">
      <c r="B126" s="17" t="s">
        <v>84</v>
      </c>
    </row>
    <row r="128" spans="2:3">
      <c r="B128" s="3" t="s">
        <v>85</v>
      </c>
      <c r="C128" s="4">
        <f>1-(C125/20)</f>
        <v>0.7</v>
      </c>
    </row>
    <row r="131" spans="2:3">
      <c r="B131" s="3" t="s">
        <v>86</v>
      </c>
      <c r="C131" s="20">
        <f>ROUNDUP((0.3*C106+0.2*C109+0.2*C114+0.15*C118+0.1*C120+0.05*C123)*C128,0)</f>
        <v>4</v>
      </c>
    </row>
    <row r="135" spans="2:3">
      <c r="B135" s="6" t="s">
        <v>100</v>
      </c>
    </row>
    <row r="137" spans="2:3">
      <c r="B137" s="17" t="s">
        <v>65</v>
      </c>
      <c r="C137" s="9" t="s">
        <v>101</v>
      </c>
    </row>
    <row r="138" spans="2:3">
      <c r="B138" s="16"/>
    </row>
    <row r="139" spans="2:3">
      <c r="B139" s="16"/>
    </row>
    <row r="140" spans="2:3" ht="15">
      <c r="B140" s="17" t="s">
        <v>67</v>
      </c>
      <c r="C140" s="18" t="s">
        <v>102</v>
      </c>
    </row>
    <row r="141" spans="2:3">
      <c r="B141" s="16"/>
      <c r="C141" s="18" t="s">
        <v>103</v>
      </c>
    </row>
    <row r="142" spans="2:3">
      <c r="B142" s="16"/>
      <c r="C142" s="18" t="s">
        <v>104</v>
      </c>
    </row>
    <row r="143" spans="2:3">
      <c r="B143" s="16"/>
      <c r="C143" s="18"/>
    </row>
    <row r="144" spans="2:3">
      <c r="B144" s="16"/>
      <c r="C144" s="18"/>
    </row>
    <row r="145" spans="2:3">
      <c r="B145" s="16"/>
    </row>
    <row r="146" spans="2:3">
      <c r="B146" s="17" t="s">
        <v>69</v>
      </c>
      <c r="C146" s="9" t="s">
        <v>105</v>
      </c>
    </row>
    <row r="147" spans="2:3">
      <c r="B147" s="19" t="s">
        <v>71</v>
      </c>
      <c r="C147" s="9" t="s">
        <v>106</v>
      </c>
    </row>
    <row r="148" spans="2:3">
      <c r="B148" s="16"/>
      <c r="C148" s="9"/>
    </row>
    <row r="149" spans="2:3">
      <c r="B149" s="16"/>
    </row>
    <row r="150" spans="2:3">
      <c r="B150" s="17" t="s">
        <v>73</v>
      </c>
      <c r="C150" s="9">
        <v>4</v>
      </c>
    </row>
    <row r="151" spans="2:3">
      <c r="B151" s="16"/>
    </row>
    <row r="152" spans="2:3">
      <c r="B152" s="16"/>
    </row>
    <row r="153" spans="2:3">
      <c r="B153" s="17" t="s">
        <v>74</v>
      </c>
      <c r="C153" s="9">
        <v>2</v>
      </c>
    </row>
    <row r="154" spans="2:3">
      <c r="B154" s="19" t="s">
        <v>75</v>
      </c>
    </row>
    <row r="155" spans="2:3">
      <c r="B155" s="19" t="s">
        <v>76</v>
      </c>
    </row>
    <row r="156" spans="2:3">
      <c r="B156" s="16"/>
    </row>
    <row r="157" spans="2:3">
      <c r="B157" s="16"/>
    </row>
    <row r="158" spans="2:3">
      <c r="B158" s="17" t="s">
        <v>77</v>
      </c>
      <c r="C158" s="9">
        <v>4</v>
      </c>
    </row>
    <row r="159" spans="2:3">
      <c r="B159" s="17" t="s">
        <v>78</v>
      </c>
    </row>
    <row r="160" spans="2:3">
      <c r="B160" s="16"/>
    </row>
    <row r="162" spans="2:3">
      <c r="B162" s="17" t="s">
        <v>79</v>
      </c>
      <c r="C162" s="9">
        <v>3</v>
      </c>
    </row>
    <row r="163" spans="2:3">
      <c r="B163" s="16"/>
    </row>
    <row r="164" spans="2:3">
      <c r="B164" s="17" t="s">
        <v>80</v>
      </c>
      <c r="C164" s="9">
        <v>4</v>
      </c>
    </row>
    <row r="165" spans="2:3">
      <c r="B165" s="17" t="s">
        <v>81</v>
      </c>
    </row>
    <row r="166" spans="2:3">
      <c r="B166" s="16"/>
    </row>
    <row r="167" spans="2:3">
      <c r="B167" s="17" t="s">
        <v>82</v>
      </c>
      <c r="C167" s="9">
        <v>4</v>
      </c>
    </row>
    <row r="168" spans="2:3">
      <c r="B168" s="16"/>
    </row>
    <row r="169" spans="2:3">
      <c r="B169" s="17" t="s">
        <v>83</v>
      </c>
      <c r="C169" s="9">
        <v>7</v>
      </c>
    </row>
    <row r="170" spans="2:3">
      <c r="B170" s="17" t="s">
        <v>84</v>
      </c>
    </row>
    <row r="172" spans="2:3">
      <c r="B172" s="3" t="s">
        <v>85</v>
      </c>
      <c r="C172" s="4">
        <f>1-(C169/20)</f>
        <v>0.65</v>
      </c>
    </row>
    <row r="175" spans="2:3">
      <c r="B175" s="3" t="s">
        <v>86</v>
      </c>
      <c r="C175" s="20">
        <f>ROUNDUP((0.3*C150+0.2*C153+0.2*C158+0.15*C162+0.1*C164+0.05*C167)*C172,0)</f>
        <v>3</v>
      </c>
    </row>
    <row r="179" spans="2:3">
      <c r="B179" s="6" t="s">
        <v>107</v>
      </c>
    </row>
    <row r="181" spans="2:3">
      <c r="B181" s="17" t="s">
        <v>65</v>
      </c>
      <c r="C181" s="9" t="s">
        <v>108</v>
      </c>
    </row>
    <row r="182" spans="2:3">
      <c r="B182" s="16"/>
    </row>
    <row r="183" spans="2:3">
      <c r="B183" s="16"/>
    </row>
    <row r="184" spans="2:3">
      <c r="B184" s="17" t="s">
        <v>67</v>
      </c>
      <c r="C184" s="18" t="s">
        <v>109</v>
      </c>
    </row>
    <row r="185" spans="2:3">
      <c r="B185" s="16"/>
      <c r="C185" s="18" t="s">
        <v>110</v>
      </c>
    </row>
    <row r="186" spans="2:3">
      <c r="B186" s="16"/>
      <c r="C186" s="18" t="s">
        <v>111</v>
      </c>
    </row>
    <row r="187" spans="2:3">
      <c r="B187" s="16"/>
      <c r="C187" s="18"/>
    </row>
    <row r="188" spans="2:3">
      <c r="B188" s="16"/>
      <c r="C188" s="18"/>
    </row>
    <row r="189" spans="2:3">
      <c r="B189" s="16"/>
    </row>
    <row r="190" spans="2:3">
      <c r="B190" s="17" t="s">
        <v>69</v>
      </c>
      <c r="C190" s="9" t="s">
        <v>112</v>
      </c>
    </row>
    <row r="191" spans="2:3">
      <c r="B191" s="19" t="s">
        <v>71</v>
      </c>
      <c r="C191" s="9"/>
    </row>
    <row r="192" spans="2:3">
      <c r="B192" s="16"/>
      <c r="C192" s="9"/>
    </row>
    <row r="193" spans="2:3">
      <c r="B193" s="16"/>
    </row>
    <row r="194" spans="2:3">
      <c r="B194" s="17" t="s">
        <v>73</v>
      </c>
      <c r="C194" s="9">
        <v>7</v>
      </c>
    </row>
    <row r="195" spans="2:3">
      <c r="B195" s="16"/>
    </row>
    <row r="196" spans="2:3">
      <c r="B196" s="16"/>
    </row>
    <row r="197" spans="2:3">
      <c r="B197" s="17" t="s">
        <v>74</v>
      </c>
      <c r="C197" s="9">
        <v>6</v>
      </c>
    </row>
    <row r="198" spans="2:3">
      <c r="B198" s="19" t="s">
        <v>75</v>
      </c>
    </row>
    <row r="199" spans="2:3">
      <c r="B199" s="19" t="s">
        <v>76</v>
      </c>
    </row>
    <row r="200" spans="2:3">
      <c r="B200" s="16"/>
    </row>
    <row r="201" spans="2:3">
      <c r="B201" s="16"/>
    </row>
    <row r="202" spans="2:3">
      <c r="B202" s="17" t="s">
        <v>77</v>
      </c>
      <c r="C202" s="9">
        <v>7</v>
      </c>
    </row>
    <row r="203" spans="2:3">
      <c r="B203" s="17" t="s">
        <v>78</v>
      </c>
    </row>
    <row r="204" spans="2:3">
      <c r="B204" s="16"/>
    </row>
    <row r="206" spans="2:3">
      <c r="B206" s="17" t="s">
        <v>79</v>
      </c>
      <c r="C206" s="9">
        <v>6</v>
      </c>
    </row>
    <row r="207" spans="2:3">
      <c r="B207" s="16"/>
    </row>
    <row r="208" spans="2:3">
      <c r="B208" s="17" t="s">
        <v>80</v>
      </c>
      <c r="C208" s="9">
        <v>6</v>
      </c>
    </row>
    <row r="209" spans="2:3">
      <c r="B209" s="17" t="s">
        <v>81</v>
      </c>
    </row>
    <row r="210" spans="2:3">
      <c r="B210" s="16"/>
    </row>
    <row r="211" spans="2:3">
      <c r="B211" s="17" t="s">
        <v>82</v>
      </c>
      <c r="C211" s="9">
        <v>6</v>
      </c>
    </row>
    <row r="212" spans="2:3">
      <c r="B212" s="16"/>
    </row>
    <row r="213" spans="2:3">
      <c r="B213" s="17" t="s">
        <v>83</v>
      </c>
      <c r="C213" s="9">
        <v>5</v>
      </c>
    </row>
    <row r="214" spans="2:3">
      <c r="B214" s="17" t="s">
        <v>84</v>
      </c>
    </row>
    <row r="216" spans="2:3">
      <c r="B216" s="3" t="s">
        <v>85</v>
      </c>
      <c r="C216" s="4">
        <f>1-(C213/20)</f>
        <v>0.75</v>
      </c>
    </row>
    <row r="219" spans="2:3">
      <c r="B219" s="3" t="s">
        <v>86</v>
      </c>
      <c r="C219" s="20">
        <f>ROUNDUP((0.3*C194+0.2*C197+0.2*C202+0.15*C206+0.1*C208+0.05*C211)*C216,0)</f>
        <v>5</v>
      </c>
    </row>
    <row r="223" spans="2:3">
      <c r="B223" s="6" t="s">
        <v>113</v>
      </c>
    </row>
    <row r="225" spans="2:3">
      <c r="B225" s="17" t="s">
        <v>65</v>
      </c>
      <c r="C225" s="9" t="s">
        <v>114</v>
      </c>
    </row>
    <row r="226" spans="2:3">
      <c r="B226" s="16"/>
    </row>
    <row r="227" spans="2:3">
      <c r="B227" s="16"/>
    </row>
    <row r="228" spans="2:3">
      <c r="B228" s="17" t="s">
        <v>67</v>
      </c>
      <c r="C228" s="18" t="s">
        <v>115</v>
      </c>
    </row>
    <row r="229" spans="2:3">
      <c r="B229" s="16"/>
      <c r="C229" s="18" t="s">
        <v>116</v>
      </c>
    </row>
    <row r="230" spans="2:3">
      <c r="B230" s="16"/>
      <c r="C230" s="18" t="s">
        <v>117</v>
      </c>
    </row>
    <row r="231" spans="2:3">
      <c r="B231" s="16"/>
      <c r="C231" s="18"/>
    </row>
    <row r="232" spans="2:3">
      <c r="B232" s="16"/>
      <c r="C232" s="18"/>
    </row>
    <row r="233" spans="2:3">
      <c r="B233" s="16"/>
    </row>
    <row r="234" spans="2:3">
      <c r="B234" s="17" t="s">
        <v>69</v>
      </c>
      <c r="C234" s="9" t="s">
        <v>118</v>
      </c>
    </row>
    <row r="235" spans="2:3">
      <c r="B235" s="19" t="s">
        <v>71</v>
      </c>
      <c r="C235" s="9"/>
    </row>
    <row r="236" spans="2:3">
      <c r="B236" s="16"/>
      <c r="C236" s="9"/>
    </row>
    <row r="237" spans="2:3">
      <c r="B237" s="16"/>
    </row>
    <row r="238" spans="2:3">
      <c r="B238" s="17" t="s">
        <v>73</v>
      </c>
      <c r="C238" s="9">
        <v>5</v>
      </c>
    </row>
    <row r="239" spans="2:3">
      <c r="B239" s="16"/>
    </row>
    <row r="240" spans="2:3">
      <c r="B240" s="16"/>
    </row>
    <row r="241" spans="2:3">
      <c r="B241" s="17" t="s">
        <v>74</v>
      </c>
      <c r="C241" s="9">
        <v>4</v>
      </c>
    </row>
    <row r="242" spans="2:3">
      <c r="B242" s="19" t="s">
        <v>75</v>
      </c>
    </row>
    <row r="243" spans="2:3">
      <c r="B243" s="19" t="s">
        <v>76</v>
      </c>
    </row>
    <row r="244" spans="2:3">
      <c r="B244" s="16"/>
    </row>
    <row r="245" spans="2:3">
      <c r="B245" s="16"/>
    </row>
    <row r="246" spans="2:3">
      <c r="B246" s="17" t="s">
        <v>77</v>
      </c>
      <c r="C246" s="9">
        <v>5</v>
      </c>
    </row>
    <row r="247" spans="2:3">
      <c r="B247" s="17" t="s">
        <v>78</v>
      </c>
    </row>
    <row r="248" spans="2:3">
      <c r="B248" s="16"/>
    </row>
    <row r="250" spans="2:3">
      <c r="B250" s="17" t="s">
        <v>79</v>
      </c>
      <c r="C250" s="9">
        <v>3</v>
      </c>
    </row>
    <row r="251" spans="2:3">
      <c r="B251" s="16"/>
    </row>
    <row r="252" spans="2:3">
      <c r="B252" s="17" t="s">
        <v>80</v>
      </c>
      <c r="C252" s="9">
        <v>4</v>
      </c>
    </row>
    <row r="253" spans="2:3">
      <c r="B253" s="17" t="s">
        <v>81</v>
      </c>
    </row>
    <row r="254" spans="2:3">
      <c r="B254" s="16"/>
    </row>
    <row r="255" spans="2:3">
      <c r="B255" s="17" t="s">
        <v>82</v>
      </c>
      <c r="C255" s="9">
        <v>6</v>
      </c>
    </row>
    <row r="256" spans="2:3">
      <c r="B256" s="16"/>
    </row>
    <row r="257" spans="2:3">
      <c r="B257" s="17" t="s">
        <v>83</v>
      </c>
      <c r="C257" s="9">
        <v>6</v>
      </c>
    </row>
    <row r="258" spans="2:3">
      <c r="B258" s="17" t="s">
        <v>84</v>
      </c>
    </row>
    <row r="260" spans="2:3">
      <c r="B260" s="3" t="s">
        <v>85</v>
      </c>
      <c r="C260" s="4">
        <f>1-(C257/20)</f>
        <v>0.7</v>
      </c>
    </row>
    <row r="263" spans="2:3">
      <c r="B263" s="3" t="s">
        <v>86</v>
      </c>
      <c r="C263" s="20">
        <f>ROUNDUP((0.3*C238+0.2*C241+0.2*C246+0.15*C250+0.1*C252+0.05*C255)*C260,0)</f>
        <v>4</v>
      </c>
    </row>
    <row r="267" spans="2:3">
      <c r="B267" s="6" t="s">
        <v>119</v>
      </c>
    </row>
    <row r="269" spans="2:3">
      <c r="B269" s="17" t="s">
        <v>65</v>
      </c>
      <c r="C269" s="9" t="s">
        <v>120</v>
      </c>
    </row>
    <row r="270" spans="2:3">
      <c r="B270" s="16"/>
    </row>
    <row r="271" spans="2:3">
      <c r="B271" s="16"/>
    </row>
    <row r="272" spans="2:3">
      <c r="B272" s="17" t="s">
        <v>67</v>
      </c>
      <c r="C272" s="18" t="s">
        <v>121</v>
      </c>
    </row>
    <row r="273" spans="2:3">
      <c r="B273" s="16"/>
      <c r="C273" s="18" t="s">
        <v>122</v>
      </c>
    </row>
    <row r="274" spans="2:3">
      <c r="B274" s="16"/>
      <c r="C274" s="18" t="s">
        <v>123</v>
      </c>
    </row>
    <row r="275" spans="2:3">
      <c r="B275" s="16"/>
      <c r="C275" s="18"/>
    </row>
    <row r="276" spans="2:3">
      <c r="B276" s="16"/>
      <c r="C276" s="18"/>
    </row>
    <row r="277" spans="2:3">
      <c r="B277" s="16"/>
    </row>
    <row r="278" spans="2:3">
      <c r="B278" s="17" t="s">
        <v>69</v>
      </c>
      <c r="C278" s="9" t="s">
        <v>124</v>
      </c>
    </row>
    <row r="279" spans="2:3">
      <c r="B279" s="19" t="s">
        <v>71</v>
      </c>
      <c r="C279" s="9" t="s">
        <v>125</v>
      </c>
    </row>
    <row r="280" spans="2:3">
      <c r="B280" s="16"/>
      <c r="C280" s="9"/>
    </row>
    <row r="281" spans="2:3">
      <c r="B281" s="16"/>
    </row>
    <row r="282" spans="2:3">
      <c r="B282" s="17" t="s">
        <v>73</v>
      </c>
      <c r="C282" s="9">
        <v>6</v>
      </c>
    </row>
    <row r="283" spans="2:3">
      <c r="B283" s="16"/>
    </row>
    <row r="284" spans="2:3">
      <c r="B284" s="16"/>
    </row>
    <row r="285" spans="2:3">
      <c r="B285" s="17" t="s">
        <v>74</v>
      </c>
      <c r="C285" s="9">
        <v>6</v>
      </c>
    </row>
    <row r="286" spans="2:3">
      <c r="B286" s="19" t="s">
        <v>75</v>
      </c>
    </row>
    <row r="287" spans="2:3">
      <c r="B287" s="19" t="s">
        <v>76</v>
      </c>
    </row>
    <row r="288" spans="2:3">
      <c r="B288" s="16"/>
    </row>
    <row r="289" spans="2:3">
      <c r="B289" s="16"/>
    </row>
    <row r="290" spans="2:3">
      <c r="B290" s="17" t="s">
        <v>77</v>
      </c>
      <c r="C290" s="9">
        <v>6</v>
      </c>
    </row>
    <row r="291" spans="2:3">
      <c r="B291" s="17" t="s">
        <v>78</v>
      </c>
    </row>
    <row r="292" spans="2:3">
      <c r="B292" s="16"/>
    </row>
    <row r="294" spans="2:3">
      <c r="B294" s="17" t="s">
        <v>79</v>
      </c>
      <c r="C294" s="9">
        <v>4</v>
      </c>
    </row>
    <row r="295" spans="2:3">
      <c r="B295" s="16"/>
    </row>
    <row r="296" spans="2:3">
      <c r="B296" s="17" t="s">
        <v>80</v>
      </c>
      <c r="C296" s="9">
        <v>5</v>
      </c>
    </row>
    <row r="297" spans="2:3">
      <c r="B297" s="17" t="s">
        <v>81</v>
      </c>
    </row>
    <row r="298" spans="2:3">
      <c r="B298" s="16"/>
    </row>
    <row r="299" spans="2:3">
      <c r="B299" s="17" t="s">
        <v>82</v>
      </c>
      <c r="C299" s="9">
        <v>7</v>
      </c>
    </row>
    <row r="300" spans="2:3">
      <c r="B300" s="16"/>
    </row>
    <row r="301" spans="2:3">
      <c r="B301" s="17" t="s">
        <v>83</v>
      </c>
      <c r="C301" s="9">
        <v>5</v>
      </c>
    </row>
    <row r="302" spans="2:3">
      <c r="B302" s="17" t="s">
        <v>84</v>
      </c>
    </row>
    <row r="304" spans="2:3">
      <c r="B304" s="3" t="s">
        <v>85</v>
      </c>
      <c r="C304" s="4">
        <f>1-(C301/20)</f>
        <v>0.75</v>
      </c>
    </row>
    <row r="307" spans="2:3">
      <c r="B307" s="3" t="s">
        <v>86</v>
      </c>
      <c r="C307" s="20">
        <f>ROUNDUP((0.3*C282+0.2*C285+0.2*C290+0.15*C294+0.1*C296+0.05*C299)*C304,0)</f>
        <v>5</v>
      </c>
    </row>
    <row r="311" spans="2:3">
      <c r="B311" s="6" t="s">
        <v>126</v>
      </c>
    </row>
    <row r="313" spans="2:3">
      <c r="B313" s="17" t="s">
        <v>65</v>
      </c>
      <c r="C313" s="9" t="s">
        <v>127</v>
      </c>
    </row>
    <row r="314" spans="2:3">
      <c r="B314" s="16"/>
    </row>
    <row r="315" spans="2:3">
      <c r="B315" s="16"/>
    </row>
    <row r="316" spans="2:3">
      <c r="B316" s="17" t="s">
        <v>67</v>
      </c>
      <c r="C316" s="18" t="s">
        <v>128</v>
      </c>
    </row>
    <row r="317" spans="2:3">
      <c r="B317" s="16"/>
      <c r="C317" s="18" t="s">
        <v>129</v>
      </c>
    </row>
    <row r="318" spans="2:3">
      <c r="B318" s="16"/>
      <c r="C318" s="18"/>
    </row>
    <row r="319" spans="2:3">
      <c r="B319" s="16"/>
      <c r="C319" s="18"/>
    </row>
    <row r="320" spans="2:3">
      <c r="B320" s="16"/>
      <c r="C320" s="18"/>
    </row>
    <row r="321" spans="2:3">
      <c r="B321" s="16"/>
    </row>
    <row r="322" spans="2:3">
      <c r="B322" s="17" t="s">
        <v>69</v>
      </c>
      <c r="C322" s="9" t="s">
        <v>130</v>
      </c>
    </row>
    <row r="323" spans="2:3">
      <c r="B323" s="19" t="s">
        <v>71</v>
      </c>
      <c r="C323" s="9" t="s">
        <v>131</v>
      </c>
    </row>
    <row r="324" spans="2:3">
      <c r="B324" s="16"/>
      <c r="C324" s="9"/>
    </row>
    <row r="325" spans="2:3">
      <c r="B325" s="16"/>
    </row>
    <row r="326" spans="2:3">
      <c r="B326" s="17" t="s">
        <v>73</v>
      </c>
      <c r="C326" s="9">
        <v>5</v>
      </c>
    </row>
    <row r="327" spans="2:3">
      <c r="B327" s="16"/>
    </row>
    <row r="328" spans="2:3">
      <c r="B328" s="16"/>
    </row>
    <row r="329" spans="2:3">
      <c r="B329" s="17" t="s">
        <v>74</v>
      </c>
      <c r="C329" s="9">
        <v>5</v>
      </c>
    </row>
    <row r="330" spans="2:3">
      <c r="B330" s="19" t="s">
        <v>75</v>
      </c>
    </row>
    <row r="331" spans="2:3">
      <c r="B331" s="19" t="s">
        <v>76</v>
      </c>
    </row>
    <row r="332" spans="2:3">
      <c r="B332" s="16"/>
    </row>
    <row r="333" spans="2:3">
      <c r="B333" s="16"/>
    </row>
    <row r="334" spans="2:3">
      <c r="B334" s="17" t="s">
        <v>77</v>
      </c>
      <c r="C334" s="9">
        <v>5</v>
      </c>
    </row>
    <row r="335" spans="2:3">
      <c r="B335" s="17" t="s">
        <v>78</v>
      </c>
    </row>
    <row r="336" spans="2:3">
      <c r="B336" s="16"/>
    </row>
    <row r="338" spans="2:3">
      <c r="B338" s="17" t="s">
        <v>79</v>
      </c>
      <c r="C338" s="9">
        <v>4</v>
      </c>
    </row>
    <row r="339" spans="2:3">
      <c r="B339" s="16"/>
    </row>
    <row r="340" spans="2:3">
      <c r="B340" s="17" t="s">
        <v>80</v>
      </c>
      <c r="C340" s="9">
        <v>4</v>
      </c>
    </row>
    <row r="341" spans="2:3">
      <c r="B341" s="17" t="s">
        <v>81</v>
      </c>
    </row>
    <row r="342" spans="2:3">
      <c r="B342" s="16"/>
    </row>
    <row r="343" spans="2:3">
      <c r="B343" s="17" t="s">
        <v>82</v>
      </c>
      <c r="C343" s="9">
        <v>5</v>
      </c>
    </row>
    <row r="344" spans="2:3">
      <c r="B344" s="16"/>
    </row>
    <row r="345" spans="2:3">
      <c r="B345" s="17" t="s">
        <v>83</v>
      </c>
      <c r="C345" s="9">
        <v>6</v>
      </c>
    </row>
    <row r="346" spans="2:3">
      <c r="B346" s="17" t="s">
        <v>84</v>
      </c>
    </row>
    <row r="348" spans="2:3">
      <c r="B348" s="3" t="s">
        <v>85</v>
      </c>
      <c r="C348" s="4">
        <f>1-(C345/20)</f>
        <v>0.7</v>
      </c>
    </row>
    <row r="351" spans="2:3">
      <c r="B351" s="3" t="s">
        <v>86</v>
      </c>
      <c r="C351" s="20">
        <f>ROUNDUP((0.3*C326+0.2*C329+0.2*C334+0.15*C338+0.1*C340+0.05*C343)*C348,0)</f>
        <v>4</v>
      </c>
    </row>
    <row r="355" spans="2:3">
      <c r="B355" s="6" t="s">
        <v>132</v>
      </c>
    </row>
    <row r="357" spans="2:3">
      <c r="B357" s="17" t="s">
        <v>65</v>
      </c>
      <c r="C357" s="9"/>
    </row>
    <row r="358" spans="2:3">
      <c r="B358" s="16"/>
    </row>
    <row r="359" spans="2:3">
      <c r="B359" s="16"/>
    </row>
    <row r="360" spans="2:3">
      <c r="B360" s="17" t="s">
        <v>67</v>
      </c>
      <c r="C360" s="18"/>
    </row>
    <row r="361" spans="2:3">
      <c r="B361" s="16"/>
      <c r="C361" s="18"/>
    </row>
    <row r="362" spans="2:3">
      <c r="B362" s="16"/>
      <c r="C362" s="18"/>
    </row>
    <row r="363" spans="2:3">
      <c r="B363" s="16"/>
      <c r="C363" s="18"/>
    </row>
    <row r="364" spans="2:3">
      <c r="B364" s="16"/>
      <c r="C364" s="18"/>
    </row>
    <row r="365" spans="2:3">
      <c r="B365" s="16"/>
    </row>
    <row r="366" spans="2:3">
      <c r="B366" s="17" t="s">
        <v>69</v>
      </c>
      <c r="C366" s="9"/>
    </row>
    <row r="367" spans="2:3">
      <c r="B367" s="19" t="s">
        <v>71</v>
      </c>
      <c r="C367" s="9"/>
    </row>
    <row r="368" spans="2:3">
      <c r="B368" s="16"/>
      <c r="C368" s="9"/>
    </row>
    <row r="369" spans="2:3">
      <c r="B369" s="16"/>
    </row>
    <row r="370" spans="2:3">
      <c r="B370" s="17" t="s">
        <v>73</v>
      </c>
      <c r="C370" s="9">
        <v>0</v>
      </c>
    </row>
    <row r="371" spans="2:3">
      <c r="B371" s="16"/>
    </row>
    <row r="372" spans="2:3">
      <c r="B372" s="16"/>
    </row>
    <row r="373" spans="2:3">
      <c r="B373" s="17" t="s">
        <v>74</v>
      </c>
      <c r="C373" s="9">
        <v>0</v>
      </c>
    </row>
    <row r="374" spans="2:3">
      <c r="B374" s="19" t="s">
        <v>75</v>
      </c>
    </row>
    <row r="375" spans="2:3">
      <c r="B375" s="19" t="s">
        <v>76</v>
      </c>
    </row>
    <row r="376" spans="2:3">
      <c r="B376" s="16"/>
    </row>
    <row r="377" spans="2:3">
      <c r="B377" s="16"/>
    </row>
    <row r="378" spans="2:3">
      <c r="B378" s="17" t="s">
        <v>77</v>
      </c>
      <c r="C378" s="9">
        <v>0</v>
      </c>
    </row>
    <row r="379" spans="2:3">
      <c r="B379" s="17" t="s">
        <v>78</v>
      </c>
    </row>
    <row r="380" spans="2:3">
      <c r="B380" s="16"/>
    </row>
    <row r="382" spans="2:3">
      <c r="B382" s="17" t="s">
        <v>79</v>
      </c>
      <c r="C382" s="9">
        <v>0</v>
      </c>
    </row>
    <row r="383" spans="2:3">
      <c r="B383" s="16"/>
    </row>
    <row r="384" spans="2:3">
      <c r="B384" s="17" t="s">
        <v>80</v>
      </c>
      <c r="C384" s="9">
        <v>0</v>
      </c>
    </row>
    <row r="385" spans="2:3">
      <c r="B385" s="17" t="s">
        <v>81</v>
      </c>
    </row>
    <row r="386" spans="2:3">
      <c r="B386" s="16"/>
    </row>
    <row r="387" spans="2:3">
      <c r="B387" s="17" t="s">
        <v>82</v>
      </c>
      <c r="C387" s="9">
        <v>0</v>
      </c>
    </row>
    <row r="388" spans="2:3">
      <c r="B388" s="16"/>
    </row>
    <row r="389" spans="2:3">
      <c r="B389" s="17" t="s">
        <v>83</v>
      </c>
      <c r="C389" s="9">
        <v>0</v>
      </c>
    </row>
    <row r="390" spans="2:3">
      <c r="B390" s="17" t="s">
        <v>84</v>
      </c>
    </row>
    <row r="392" spans="2:3">
      <c r="B392" s="3" t="s">
        <v>85</v>
      </c>
      <c r="C392" s="4">
        <f>1-(C389/20)</f>
        <v>1</v>
      </c>
    </row>
    <row r="395" spans="2:3">
      <c r="B395" s="3" t="s">
        <v>86</v>
      </c>
      <c r="C395" s="20">
        <f>ROUNDUP((0.3*C370+0.2*C373+0.2*C378+0.15*C382+0.1*C384+0.05*C387)*C392,0)</f>
        <v>0</v>
      </c>
    </row>
    <row r="399" spans="2:3">
      <c r="B399" s="6" t="s">
        <v>133</v>
      </c>
    </row>
    <row r="401" spans="2:3">
      <c r="B401" s="17" t="s">
        <v>65</v>
      </c>
      <c r="C401" s="9"/>
    </row>
    <row r="402" spans="2:3">
      <c r="B402" s="16"/>
    </row>
    <row r="403" spans="2:3">
      <c r="B403" s="16"/>
    </row>
    <row r="404" spans="2:3">
      <c r="B404" s="17" t="s">
        <v>67</v>
      </c>
      <c r="C404" s="18"/>
    </row>
    <row r="405" spans="2:3">
      <c r="B405" s="16"/>
      <c r="C405" s="18"/>
    </row>
    <row r="406" spans="2:3">
      <c r="B406" s="16"/>
      <c r="C406" s="18"/>
    </row>
    <row r="407" spans="2:3">
      <c r="B407" s="16"/>
      <c r="C407" s="18"/>
    </row>
    <row r="408" spans="2:3">
      <c r="B408" s="16"/>
      <c r="C408" s="18"/>
    </row>
    <row r="409" spans="2:3">
      <c r="B409" s="16"/>
    </row>
    <row r="410" spans="2:3">
      <c r="B410" s="17" t="s">
        <v>69</v>
      </c>
      <c r="C410" s="9"/>
    </row>
    <row r="411" spans="2:3">
      <c r="B411" s="19" t="s">
        <v>71</v>
      </c>
      <c r="C411" s="9"/>
    </row>
    <row r="412" spans="2:3">
      <c r="B412" s="16"/>
      <c r="C412" s="9"/>
    </row>
    <row r="413" spans="2:3">
      <c r="B413" s="16"/>
    </row>
    <row r="414" spans="2:3">
      <c r="B414" s="17" t="s">
        <v>73</v>
      </c>
      <c r="C414" s="9">
        <v>0</v>
      </c>
    </row>
    <row r="415" spans="2:3">
      <c r="B415" s="16"/>
    </row>
    <row r="416" spans="2:3">
      <c r="B416" s="16"/>
    </row>
    <row r="417" spans="2:3">
      <c r="B417" s="17" t="s">
        <v>74</v>
      </c>
      <c r="C417" s="9">
        <v>0</v>
      </c>
    </row>
    <row r="418" spans="2:3">
      <c r="B418" s="19" t="s">
        <v>75</v>
      </c>
    </row>
    <row r="419" spans="2:3">
      <c r="B419" s="19" t="s">
        <v>76</v>
      </c>
    </row>
    <row r="420" spans="2:3">
      <c r="B420" s="16"/>
    </row>
    <row r="421" spans="2:3">
      <c r="B421" s="16"/>
    </row>
    <row r="422" spans="2:3">
      <c r="B422" s="17" t="s">
        <v>77</v>
      </c>
      <c r="C422" s="9">
        <v>0</v>
      </c>
    </row>
    <row r="423" spans="2:3">
      <c r="B423" s="17" t="s">
        <v>78</v>
      </c>
    </row>
    <row r="424" spans="2:3">
      <c r="B424" s="16"/>
    </row>
    <row r="426" spans="2:3">
      <c r="B426" s="17" t="s">
        <v>79</v>
      </c>
      <c r="C426" s="9">
        <v>0</v>
      </c>
    </row>
    <row r="427" spans="2:3">
      <c r="B427" s="16"/>
    </row>
    <row r="428" spans="2:3">
      <c r="B428" s="17" t="s">
        <v>80</v>
      </c>
      <c r="C428" s="9">
        <v>0</v>
      </c>
    </row>
    <row r="429" spans="2:3">
      <c r="B429" s="17" t="s">
        <v>81</v>
      </c>
    </row>
    <row r="430" spans="2:3">
      <c r="B430" s="16"/>
    </row>
    <row r="431" spans="2:3">
      <c r="B431" s="17" t="s">
        <v>82</v>
      </c>
      <c r="C431" s="9">
        <v>0</v>
      </c>
    </row>
    <row r="432" spans="2:3">
      <c r="B432" s="16"/>
    </row>
    <row r="433" spans="2:3">
      <c r="B433" s="17" t="s">
        <v>83</v>
      </c>
      <c r="C433" s="9">
        <v>0</v>
      </c>
    </row>
    <row r="434" spans="2:3">
      <c r="B434" s="17" t="s">
        <v>84</v>
      </c>
    </row>
    <row r="436" spans="2:3">
      <c r="B436" s="3" t="s">
        <v>85</v>
      </c>
      <c r="C436" s="4">
        <f>1-(C433/20)</f>
        <v>1</v>
      </c>
    </row>
    <row r="439" spans="2:3">
      <c r="B439" s="3" t="s">
        <v>86</v>
      </c>
      <c r="C439" s="20">
        <f>ROUNDUP((0.3*C414+0.2*C417+0.2*C422+0.15*C426+0.1*C428+0.05*C431)*C436,0)</f>
        <v>0</v>
      </c>
    </row>
    <row r="443" spans="2:3">
      <c r="B443" s="6" t="s">
        <v>134</v>
      </c>
    </row>
    <row r="445" spans="2:3">
      <c r="B445" s="17" t="s">
        <v>65</v>
      </c>
      <c r="C445" s="9"/>
    </row>
    <row r="446" spans="2:3">
      <c r="B446" s="16"/>
    </row>
    <row r="447" spans="2:3">
      <c r="B447" s="16"/>
    </row>
    <row r="448" spans="2:3">
      <c r="B448" s="17" t="s">
        <v>67</v>
      </c>
      <c r="C448" s="18"/>
    </row>
    <row r="449" spans="2:3">
      <c r="B449" s="16"/>
      <c r="C449" s="18"/>
    </row>
    <row r="450" spans="2:3">
      <c r="B450" s="16"/>
      <c r="C450" s="18"/>
    </row>
    <row r="451" spans="2:3">
      <c r="B451" s="16"/>
      <c r="C451" s="18"/>
    </row>
    <row r="452" spans="2:3">
      <c r="B452" s="16"/>
      <c r="C452" s="18"/>
    </row>
    <row r="453" spans="2:3">
      <c r="B453" s="16"/>
    </row>
    <row r="454" spans="2:3">
      <c r="B454" s="17" t="s">
        <v>69</v>
      </c>
      <c r="C454" s="9"/>
    </row>
    <row r="455" spans="2:3">
      <c r="B455" s="19" t="s">
        <v>71</v>
      </c>
      <c r="C455" s="9"/>
    </row>
    <row r="456" spans="2:3">
      <c r="B456" s="16"/>
      <c r="C456" s="9"/>
    </row>
    <row r="457" spans="2:3">
      <c r="B457" s="16"/>
    </row>
    <row r="458" spans="2:3">
      <c r="B458" s="17" t="s">
        <v>73</v>
      </c>
      <c r="C458" s="9">
        <v>0</v>
      </c>
    </row>
    <row r="459" spans="2:3">
      <c r="B459" s="16"/>
    </row>
    <row r="460" spans="2:3">
      <c r="B460" s="16"/>
    </row>
    <row r="461" spans="2:3">
      <c r="B461" s="17" t="s">
        <v>74</v>
      </c>
      <c r="C461" s="9">
        <v>0</v>
      </c>
    </row>
    <row r="462" spans="2:3">
      <c r="B462" s="19" t="s">
        <v>75</v>
      </c>
    </row>
    <row r="463" spans="2:3">
      <c r="B463" s="19" t="s">
        <v>76</v>
      </c>
    </row>
    <row r="464" spans="2:3">
      <c r="B464" s="16"/>
    </row>
    <row r="465" spans="2:3">
      <c r="B465" s="16"/>
    </row>
    <row r="466" spans="2:3">
      <c r="B466" s="17" t="s">
        <v>77</v>
      </c>
      <c r="C466" s="9">
        <v>0</v>
      </c>
    </row>
    <row r="467" spans="2:3">
      <c r="B467" s="17" t="s">
        <v>78</v>
      </c>
    </row>
    <row r="468" spans="2:3">
      <c r="B468" s="16"/>
    </row>
    <row r="470" spans="2:3">
      <c r="B470" s="17" t="s">
        <v>79</v>
      </c>
      <c r="C470" s="9">
        <v>0</v>
      </c>
    </row>
    <row r="471" spans="2:3">
      <c r="B471" s="16"/>
    </row>
    <row r="472" spans="2:3">
      <c r="B472" s="17" t="s">
        <v>80</v>
      </c>
      <c r="C472" s="9">
        <v>0</v>
      </c>
    </row>
    <row r="473" spans="2:3">
      <c r="B473" s="17" t="s">
        <v>81</v>
      </c>
    </row>
    <row r="474" spans="2:3">
      <c r="B474" s="16"/>
    </row>
    <row r="475" spans="2:3">
      <c r="B475" s="17" t="s">
        <v>82</v>
      </c>
      <c r="C475" s="9">
        <v>0</v>
      </c>
    </row>
    <row r="476" spans="2:3">
      <c r="B476" s="16"/>
    </row>
    <row r="477" spans="2:3">
      <c r="B477" s="17" t="s">
        <v>83</v>
      </c>
      <c r="C477" s="9">
        <v>0</v>
      </c>
    </row>
    <row r="478" spans="2:3">
      <c r="B478" s="17" t="s">
        <v>84</v>
      </c>
    </row>
    <row r="480" spans="2:3">
      <c r="B480" s="3" t="s">
        <v>85</v>
      </c>
      <c r="C480" s="4">
        <f>1-(C477/20)</f>
        <v>1</v>
      </c>
    </row>
    <row r="483" spans="2:3">
      <c r="B483" s="3" t="s">
        <v>86</v>
      </c>
      <c r="C483" s="20">
        <f>ROUNDUP((0.3*C458+0.2*C461+0.2*C466+0.15*C470+0.1*C472+0.05*C475)*C480,0)</f>
        <v>0</v>
      </c>
    </row>
    <row r="487" spans="2:3">
      <c r="B487" s="6" t="s">
        <v>135</v>
      </c>
    </row>
    <row r="489" spans="2:3">
      <c r="B489" s="17" t="s">
        <v>65</v>
      </c>
      <c r="C489" s="9"/>
    </row>
    <row r="490" spans="2:3">
      <c r="B490" s="16"/>
    </row>
    <row r="491" spans="2:3">
      <c r="B491" s="16"/>
    </row>
    <row r="492" spans="2:3">
      <c r="B492" s="17" t="s">
        <v>67</v>
      </c>
      <c r="C492" s="18"/>
    </row>
    <row r="493" spans="2:3">
      <c r="B493" s="16"/>
      <c r="C493" s="18"/>
    </row>
    <row r="494" spans="2:3">
      <c r="B494" s="16"/>
      <c r="C494" s="18"/>
    </row>
    <row r="495" spans="2:3">
      <c r="B495" s="16"/>
      <c r="C495" s="18"/>
    </row>
    <row r="496" spans="2:3">
      <c r="B496" s="16"/>
      <c r="C496" s="18"/>
    </row>
    <row r="497" spans="2:3">
      <c r="B497" s="16"/>
    </row>
    <row r="498" spans="2:3">
      <c r="B498" s="17" t="s">
        <v>69</v>
      </c>
      <c r="C498" s="9"/>
    </row>
    <row r="499" spans="2:3">
      <c r="B499" s="19" t="s">
        <v>71</v>
      </c>
      <c r="C499" s="9"/>
    </row>
    <row r="500" spans="2:3">
      <c r="B500" s="16"/>
      <c r="C500" s="9"/>
    </row>
    <row r="501" spans="2:3">
      <c r="B501" s="16"/>
    </row>
    <row r="502" spans="2:3">
      <c r="B502" s="17" t="s">
        <v>73</v>
      </c>
      <c r="C502" s="9">
        <v>0</v>
      </c>
    </row>
    <row r="503" spans="2:3">
      <c r="B503" s="16"/>
    </row>
    <row r="504" spans="2:3">
      <c r="B504" s="16"/>
    </row>
    <row r="505" spans="2:3">
      <c r="B505" s="17" t="s">
        <v>74</v>
      </c>
      <c r="C505" s="9">
        <v>0</v>
      </c>
    </row>
    <row r="506" spans="2:3">
      <c r="B506" s="19" t="s">
        <v>75</v>
      </c>
    </row>
    <row r="507" spans="2:3">
      <c r="B507" s="19" t="s">
        <v>76</v>
      </c>
    </row>
    <row r="508" spans="2:3">
      <c r="B508" s="16"/>
    </row>
    <row r="509" spans="2:3">
      <c r="B509" s="16"/>
    </row>
    <row r="510" spans="2:3">
      <c r="B510" s="17" t="s">
        <v>77</v>
      </c>
      <c r="C510" s="9">
        <v>0</v>
      </c>
    </row>
    <row r="511" spans="2:3">
      <c r="B511" s="17" t="s">
        <v>78</v>
      </c>
    </row>
    <row r="512" spans="2:3">
      <c r="B512" s="16"/>
    </row>
    <row r="514" spans="2:3">
      <c r="B514" s="17" t="s">
        <v>79</v>
      </c>
      <c r="C514" s="9">
        <v>0</v>
      </c>
    </row>
    <row r="515" spans="2:3">
      <c r="B515" s="16"/>
    </row>
    <row r="516" spans="2:3">
      <c r="B516" s="17" t="s">
        <v>80</v>
      </c>
      <c r="C516" s="9">
        <v>0</v>
      </c>
    </row>
    <row r="517" spans="2:3">
      <c r="B517" s="17" t="s">
        <v>81</v>
      </c>
    </row>
    <row r="518" spans="2:3">
      <c r="B518" s="16"/>
    </row>
    <row r="519" spans="2:3">
      <c r="B519" s="17" t="s">
        <v>82</v>
      </c>
      <c r="C519" s="9">
        <v>0</v>
      </c>
    </row>
    <row r="520" spans="2:3">
      <c r="B520" s="16"/>
    </row>
    <row r="521" spans="2:3">
      <c r="B521" s="17" t="s">
        <v>83</v>
      </c>
      <c r="C521" s="9">
        <v>0</v>
      </c>
    </row>
    <row r="522" spans="2:3">
      <c r="B522" s="17" t="s">
        <v>84</v>
      </c>
    </row>
    <row r="524" spans="2:3">
      <c r="B524" s="3" t="s">
        <v>85</v>
      </c>
      <c r="C524" s="4">
        <f>1-(C521/20)</f>
        <v>1</v>
      </c>
    </row>
    <row r="527" spans="2:3">
      <c r="B527" s="3" t="s">
        <v>86</v>
      </c>
      <c r="C527" s="20">
        <f>ROUNDUP((0.3*C502+0.2*C505+0.2*C510+0.15*C514+0.1*C516+0.05*C519)*C524,0)</f>
        <v>0</v>
      </c>
    </row>
    <row r="530" spans="2:3">
      <c r="B530" s="6" t="s">
        <v>136</v>
      </c>
    </row>
    <row r="532" spans="2:3">
      <c r="B532" s="21" t="s">
        <v>86</v>
      </c>
      <c r="C532" s="20">
        <f>SUM(C527,C483,C439,C395,C351,C307,C263,C219,C175,C131,C87,C43)</f>
        <v>32</v>
      </c>
    </row>
  </sheetData>
  <mergeCells count="2">
    <mergeCell ref="C8:C12"/>
    <mergeCell ref="C52:C56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CD4E9-B7F7-4CD4-98C5-882946A86D4B}">
  <dimension ref="B2:J48"/>
  <sheetViews>
    <sheetView workbookViewId="0">
      <selection activeCell="E16" sqref="E16"/>
    </sheetView>
  </sheetViews>
  <sheetFormatPr defaultColWidth="11.42578125" defaultRowHeight="14.45"/>
  <cols>
    <col min="1" max="1" width="11.42578125" style="5"/>
    <col min="2" max="2" width="42.28515625" style="5" customWidth="1"/>
    <col min="3" max="3" width="43.28515625" style="5" customWidth="1"/>
    <col min="4" max="4" width="33.5703125" style="5" customWidth="1"/>
    <col min="5" max="5" width="53.7109375" style="5" customWidth="1"/>
    <col min="6" max="6" width="59" style="5" customWidth="1"/>
    <col min="7" max="7" width="67.5703125" style="5" customWidth="1"/>
    <col min="8" max="8" width="66.42578125" style="5" customWidth="1"/>
    <col min="9" max="9" width="56.42578125" style="5" customWidth="1"/>
    <col min="10" max="10" width="26.28515625" style="5" customWidth="1"/>
    <col min="11" max="16384" width="11.42578125" style="5"/>
  </cols>
  <sheetData>
    <row r="2" spans="2:9">
      <c r="B2" s="22" t="s">
        <v>137</v>
      </c>
      <c r="C2" s="9"/>
    </row>
    <row r="5" spans="2:9">
      <c r="B5" s="2" t="s">
        <v>138</v>
      </c>
      <c r="C5" s="26" t="s">
        <v>139</v>
      </c>
      <c r="D5" s="26" t="s">
        <v>140</v>
      </c>
      <c r="E5" s="26" t="s">
        <v>141</v>
      </c>
      <c r="F5" s="26" t="s">
        <v>142</v>
      </c>
      <c r="G5" s="26" t="s">
        <v>143</v>
      </c>
      <c r="H5" s="26" t="s">
        <v>144</v>
      </c>
      <c r="I5" s="27" t="s">
        <v>12</v>
      </c>
    </row>
    <row r="6" spans="2:9">
      <c r="C6" s="24" t="s">
        <v>145</v>
      </c>
      <c r="D6" s="24" t="s">
        <v>146</v>
      </c>
      <c r="E6" s="24">
        <v>10</v>
      </c>
      <c r="F6" s="24">
        <v>2</v>
      </c>
      <c r="G6" s="24">
        <v>4</v>
      </c>
      <c r="H6" s="24">
        <v>3</v>
      </c>
      <c r="I6" s="28">
        <f>E6*(F6+G6+H6)</f>
        <v>90</v>
      </c>
    </row>
    <row r="7" spans="2:9">
      <c r="C7" s="24" t="s">
        <v>147</v>
      </c>
      <c r="D7" s="24" t="s">
        <v>148</v>
      </c>
      <c r="E7" s="24">
        <v>4</v>
      </c>
      <c r="F7" s="24">
        <v>2</v>
      </c>
      <c r="G7" s="24">
        <v>3</v>
      </c>
      <c r="H7" s="24">
        <v>2</v>
      </c>
      <c r="I7" s="28">
        <f t="shared" ref="I7:I18" si="0">E7*(F7+G7+H7)</f>
        <v>28</v>
      </c>
    </row>
    <row r="8" spans="2:9">
      <c r="C8" s="24" t="s">
        <v>149</v>
      </c>
      <c r="D8" s="24" t="s">
        <v>148</v>
      </c>
      <c r="E8" s="24">
        <v>4</v>
      </c>
      <c r="F8" s="24">
        <v>2</v>
      </c>
      <c r="G8" s="24">
        <v>3</v>
      </c>
      <c r="H8" s="24">
        <v>2</v>
      </c>
      <c r="I8" s="28">
        <f t="shared" si="0"/>
        <v>28</v>
      </c>
    </row>
    <row r="9" spans="2:9" ht="15">
      <c r="C9" s="24" t="s">
        <v>150</v>
      </c>
      <c r="D9" s="24" t="s">
        <v>148</v>
      </c>
      <c r="E9" s="24">
        <v>4</v>
      </c>
      <c r="F9" s="24">
        <v>2</v>
      </c>
      <c r="G9" s="24">
        <v>3</v>
      </c>
      <c r="H9" s="24">
        <v>2</v>
      </c>
      <c r="I9" s="28">
        <f t="shared" si="0"/>
        <v>28</v>
      </c>
    </row>
    <row r="10" spans="2:9" ht="15">
      <c r="C10" s="24" t="s">
        <v>151</v>
      </c>
      <c r="D10" s="24" t="s">
        <v>148</v>
      </c>
      <c r="E10" s="24">
        <v>4</v>
      </c>
      <c r="F10" s="24">
        <v>2</v>
      </c>
      <c r="G10" s="24">
        <v>3</v>
      </c>
      <c r="H10" s="24">
        <v>2</v>
      </c>
      <c r="I10" s="28">
        <f t="shared" si="0"/>
        <v>28</v>
      </c>
    </row>
    <row r="11" spans="2:9" ht="15">
      <c r="C11" s="24" t="s">
        <v>152</v>
      </c>
      <c r="D11" s="24" t="s">
        <v>148</v>
      </c>
      <c r="E11" s="24">
        <v>4</v>
      </c>
      <c r="F11" s="24">
        <v>2</v>
      </c>
      <c r="G11" s="24">
        <v>3</v>
      </c>
      <c r="H11" s="24">
        <v>2</v>
      </c>
      <c r="I11" s="28">
        <f t="shared" si="0"/>
        <v>28</v>
      </c>
    </row>
    <row r="12" spans="2:9" ht="15">
      <c r="C12" s="24" t="s">
        <v>153</v>
      </c>
      <c r="D12" s="24" t="s">
        <v>148</v>
      </c>
      <c r="E12" s="24">
        <v>4</v>
      </c>
      <c r="F12" s="24">
        <v>2</v>
      </c>
      <c r="G12" s="24">
        <v>3</v>
      </c>
      <c r="H12" s="24">
        <v>2</v>
      </c>
      <c r="I12" s="28">
        <f t="shared" si="0"/>
        <v>28</v>
      </c>
    </row>
    <row r="13" spans="2:9" ht="15">
      <c r="C13" s="24" t="s">
        <v>154</v>
      </c>
      <c r="D13" s="24" t="s">
        <v>148</v>
      </c>
      <c r="E13" s="24">
        <v>4</v>
      </c>
      <c r="F13" s="24">
        <v>2</v>
      </c>
      <c r="G13" s="24">
        <v>3</v>
      </c>
      <c r="H13" s="24">
        <v>2</v>
      </c>
      <c r="I13" s="28">
        <f t="shared" si="0"/>
        <v>28</v>
      </c>
    </row>
    <row r="14" spans="2:9" ht="15">
      <c r="C14" s="24" t="s">
        <v>155</v>
      </c>
      <c r="D14" s="24" t="s">
        <v>148</v>
      </c>
      <c r="E14" s="24">
        <v>4</v>
      </c>
      <c r="F14" s="24">
        <v>2</v>
      </c>
      <c r="G14" s="24">
        <v>3</v>
      </c>
      <c r="H14" s="24">
        <v>2</v>
      </c>
      <c r="I14" s="28">
        <f t="shared" si="0"/>
        <v>28</v>
      </c>
    </row>
    <row r="15" spans="2:9" ht="15">
      <c r="C15" s="24" t="s">
        <v>156</v>
      </c>
      <c r="D15" s="24" t="s">
        <v>148</v>
      </c>
      <c r="E15" s="24">
        <v>4</v>
      </c>
      <c r="F15" s="24">
        <v>2</v>
      </c>
      <c r="G15" s="24">
        <v>3</v>
      </c>
      <c r="H15" s="24">
        <v>2</v>
      </c>
      <c r="I15" s="28">
        <f t="shared" si="0"/>
        <v>28</v>
      </c>
    </row>
    <row r="16" spans="2:9" ht="15">
      <c r="C16" s="24" t="s">
        <v>157</v>
      </c>
      <c r="D16" s="24" t="s">
        <v>148</v>
      </c>
      <c r="E16" s="24">
        <v>4</v>
      </c>
      <c r="F16" s="24">
        <v>2</v>
      </c>
      <c r="G16" s="24">
        <v>3</v>
      </c>
      <c r="H16" s="24">
        <v>2</v>
      </c>
      <c r="I16" s="28">
        <f t="shared" si="0"/>
        <v>28</v>
      </c>
    </row>
    <row r="17" spans="2:10" ht="15">
      <c r="C17" s="24" t="s">
        <v>158</v>
      </c>
      <c r="D17" s="24" t="s">
        <v>148</v>
      </c>
      <c r="E17" s="24">
        <v>4</v>
      </c>
      <c r="F17" s="24">
        <v>2</v>
      </c>
      <c r="G17" s="24">
        <v>3</v>
      </c>
      <c r="H17" s="24">
        <v>2</v>
      </c>
      <c r="I17" s="28">
        <f t="shared" si="0"/>
        <v>28</v>
      </c>
    </row>
    <row r="18" spans="2:10">
      <c r="C18" s="24" t="s">
        <v>159</v>
      </c>
      <c r="D18" s="24" t="s">
        <v>148</v>
      </c>
      <c r="E18" s="24">
        <v>4</v>
      </c>
      <c r="F18" s="24">
        <v>2</v>
      </c>
      <c r="G18" s="24">
        <v>3</v>
      </c>
      <c r="H18" s="24">
        <v>2</v>
      </c>
      <c r="I18" s="28">
        <f t="shared" si="0"/>
        <v>28</v>
      </c>
    </row>
    <row r="19" spans="2:10" ht="15">
      <c r="I19" s="20">
        <f>SUM(I6:I18)</f>
        <v>426</v>
      </c>
    </row>
    <row r="23" spans="2:10" ht="15.75">
      <c r="B23" s="2" t="s">
        <v>160</v>
      </c>
      <c r="C23" s="26" t="s">
        <v>161</v>
      </c>
      <c r="D23" s="26" t="s">
        <v>162</v>
      </c>
      <c r="E23" s="26" t="s">
        <v>141</v>
      </c>
      <c r="F23" s="26" t="s">
        <v>163</v>
      </c>
      <c r="G23" s="26" t="s">
        <v>164</v>
      </c>
      <c r="H23" s="26" t="s">
        <v>165</v>
      </c>
      <c r="I23" s="26" t="s">
        <v>166</v>
      </c>
      <c r="J23" s="27" t="s">
        <v>12</v>
      </c>
    </row>
    <row r="24" spans="2:10" ht="15">
      <c r="C24" s="24" t="s">
        <v>145</v>
      </c>
      <c r="D24" s="24" t="s">
        <v>148</v>
      </c>
      <c r="E24" s="24">
        <v>6</v>
      </c>
      <c r="F24" s="24">
        <v>20</v>
      </c>
      <c r="G24" s="24">
        <v>4</v>
      </c>
      <c r="H24" s="24">
        <v>10</v>
      </c>
      <c r="I24" s="24">
        <v>8</v>
      </c>
      <c r="J24" s="24">
        <f>IF(D24="N",F24+G24+H24+(I24*E24),(I24*E24)+F24+G24)</f>
        <v>82</v>
      </c>
    </row>
    <row r="25" spans="2:10" ht="15">
      <c r="C25" s="24" t="s">
        <v>147</v>
      </c>
      <c r="D25" s="24" t="s">
        <v>148</v>
      </c>
      <c r="E25" s="24">
        <v>3</v>
      </c>
      <c r="F25" s="24">
        <v>10</v>
      </c>
      <c r="G25" s="24">
        <v>5</v>
      </c>
      <c r="H25" s="24">
        <v>10</v>
      </c>
      <c r="I25" s="24">
        <v>8</v>
      </c>
      <c r="J25" s="24">
        <f>IF(D25="N",F25+G25+H25+(I25*E25),(I25*E25)+F25+G25)</f>
        <v>49</v>
      </c>
    </row>
    <row r="26" spans="2:10" ht="15">
      <c r="C26" s="24" t="s">
        <v>167</v>
      </c>
      <c r="D26" s="24" t="s">
        <v>148</v>
      </c>
      <c r="E26" s="24">
        <v>2</v>
      </c>
      <c r="F26" s="24">
        <v>15</v>
      </c>
      <c r="G26" s="24">
        <v>7</v>
      </c>
      <c r="H26" s="24">
        <v>10</v>
      </c>
      <c r="I26" s="24">
        <v>8</v>
      </c>
      <c r="J26" s="24">
        <f>IF(D26="N",F26+G26+H26+(I26*E26),(I26*E26)+F26+G26)</f>
        <v>48</v>
      </c>
    </row>
    <row r="27" spans="2:10" ht="15">
      <c r="J27" s="20">
        <f>SUM(J24:J26)</f>
        <v>179</v>
      </c>
    </row>
    <row r="28" spans="2:10" ht="15" thickBot="1"/>
    <row r="29" spans="2:10" ht="15">
      <c r="D29" s="30" t="s">
        <v>168</v>
      </c>
      <c r="E29" s="31" t="s">
        <v>169</v>
      </c>
      <c r="F29" s="32" t="s">
        <v>170</v>
      </c>
    </row>
    <row r="30" spans="2:10" ht="15" thickBot="1">
      <c r="B30" s="2" t="s">
        <v>171</v>
      </c>
      <c r="C30" s="29" t="s">
        <v>172</v>
      </c>
      <c r="D30" s="33">
        <v>2995</v>
      </c>
      <c r="E30" s="34">
        <v>2245</v>
      </c>
      <c r="F30" s="35">
        <v>1745</v>
      </c>
    </row>
    <row r="31" spans="2:10" ht="15.75">
      <c r="C31" s="26" t="s">
        <v>161</v>
      </c>
      <c r="D31" s="26" t="s">
        <v>141</v>
      </c>
      <c r="E31" s="26" t="s">
        <v>163</v>
      </c>
      <c r="F31" s="26" t="s">
        <v>164</v>
      </c>
      <c r="G31" s="26" t="s">
        <v>165</v>
      </c>
      <c r="H31" s="26" t="s">
        <v>166</v>
      </c>
      <c r="I31" s="27" t="s">
        <v>12</v>
      </c>
    </row>
    <row r="32" spans="2:10" ht="15">
      <c r="C32" s="24" t="s">
        <v>145</v>
      </c>
      <c r="D32" s="24">
        <v>10</v>
      </c>
      <c r="E32" s="24">
        <v>20</v>
      </c>
      <c r="F32" s="24">
        <v>5</v>
      </c>
      <c r="G32" s="24">
        <v>2</v>
      </c>
      <c r="H32" s="24">
        <v>0.1</v>
      </c>
      <c r="I32" s="24">
        <f>E32+F32+G32+(H32*D32)</f>
        <v>28</v>
      </c>
    </row>
    <row r="33" spans="2:10" ht="15">
      <c r="C33" s="24"/>
      <c r="D33" s="24"/>
      <c r="E33" s="24"/>
      <c r="F33" s="24"/>
      <c r="G33" s="24"/>
      <c r="H33" s="24"/>
      <c r="I33" s="24">
        <f t="shared" ref="I33:I34" si="1">E33+F33+G33+(H33*D33)</f>
        <v>0</v>
      </c>
    </row>
    <row r="34" spans="2:10" ht="15">
      <c r="C34" s="24"/>
      <c r="D34" s="24"/>
      <c r="E34" s="24"/>
      <c r="F34" s="24"/>
      <c r="G34" s="24"/>
      <c r="H34" s="24"/>
      <c r="I34" s="24">
        <f t="shared" si="1"/>
        <v>0</v>
      </c>
    </row>
    <row r="35" spans="2:10" ht="15">
      <c r="I35" s="20">
        <f>SUM(I32:I34)</f>
        <v>28</v>
      </c>
    </row>
    <row r="41" spans="2:10" ht="15" thickBot="1"/>
    <row r="42" spans="2:10" ht="15">
      <c r="J42" s="36" t="s">
        <v>173</v>
      </c>
    </row>
    <row r="43" spans="2:10" ht="15" thickBot="1">
      <c r="J43" s="37">
        <f>SUM(I35,J27,I19)</f>
        <v>633</v>
      </c>
    </row>
    <row r="48" spans="2:10" ht="15">
      <c r="B48" s="5" t="s">
        <v>174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E933-632C-4C49-84BE-B36095AEDD85}">
  <dimension ref="C3:F12"/>
  <sheetViews>
    <sheetView topLeftCell="E1" workbookViewId="0">
      <selection activeCell="E12" sqref="E12"/>
    </sheetView>
  </sheetViews>
  <sheetFormatPr defaultColWidth="11.42578125" defaultRowHeight="14.45"/>
  <cols>
    <col min="1" max="1" width="11.42578125" style="5"/>
    <col min="2" max="2" width="5.28515625" style="5" customWidth="1"/>
    <col min="3" max="3" width="27" style="5" customWidth="1"/>
    <col min="4" max="4" width="22" style="5" customWidth="1"/>
    <col min="5" max="5" width="128.28515625" style="5" customWidth="1"/>
    <col min="6" max="6" width="82" style="5" customWidth="1"/>
    <col min="7" max="16384" width="11.42578125" style="5"/>
  </cols>
  <sheetData>
    <row r="3" spans="3:6">
      <c r="D3" s="8" t="s">
        <v>175</v>
      </c>
      <c r="E3" s="8" t="s">
        <v>176</v>
      </c>
      <c r="F3" s="7" t="s">
        <v>177</v>
      </c>
    </row>
    <row r="4" spans="3:6">
      <c r="D4" s="9">
        <v>10</v>
      </c>
      <c r="E4" s="9">
        <v>12</v>
      </c>
      <c r="F4" s="38">
        <f>E4*D4</f>
        <v>120</v>
      </c>
    </row>
    <row r="7" spans="3:6">
      <c r="C7" s="8" t="s">
        <v>178</v>
      </c>
      <c r="D7" s="8"/>
      <c r="E7" s="8" t="s">
        <v>179</v>
      </c>
      <c r="F7" s="7" t="s">
        <v>180</v>
      </c>
    </row>
    <row r="8" spans="3:6">
      <c r="C8" s="9">
        <v>10</v>
      </c>
      <c r="D8" s="9"/>
      <c r="E8" s="9">
        <v>20</v>
      </c>
      <c r="F8" s="38">
        <f>C8*E8</f>
        <v>200</v>
      </c>
    </row>
    <row r="10" spans="3:6">
      <c r="E10" s="5" t="s">
        <v>181</v>
      </c>
    </row>
    <row r="11" spans="3:6">
      <c r="F11" s="7" t="s">
        <v>4</v>
      </c>
    </row>
    <row r="12" spans="3:6">
      <c r="F12" s="20">
        <f>ROUNDUP((F8+F4)/7,0)</f>
        <v>46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ENOL JUNQUERA ALVAREZ</dc:creator>
  <cp:keywords/>
  <dc:description/>
  <cp:lastModifiedBy>David Covián Gómez</cp:lastModifiedBy>
  <cp:revision/>
  <dcterms:created xsi:type="dcterms:W3CDTF">2024-11-15T10:32:33Z</dcterms:created>
  <dcterms:modified xsi:type="dcterms:W3CDTF">2025-12-06T19:01:35Z</dcterms:modified>
  <cp:category/>
  <cp:contentStatus/>
</cp:coreProperties>
</file>